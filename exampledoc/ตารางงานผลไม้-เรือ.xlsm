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ywork\Sattaya\"/>
    </mc:Choice>
  </mc:AlternateContent>
  <xr:revisionPtr revIDLastSave="0" documentId="13_ncr:1_{96051D2C-C349-485B-B8B0-BF49D147162E}" xr6:coauthVersionLast="47" xr6:coauthVersionMax="47" xr10:uidLastSave="{00000000-0000-0000-0000-000000000000}"/>
  <bookViews>
    <workbookView xWindow="-120" yWindow="-120" windowWidth="38640" windowHeight="15720" activeTab="1" xr2:uid="{00000000-000D-0000-FFFF-FFFF00000000}"/>
  </bookViews>
  <sheets>
    <sheet name="DATA" sheetId="1" r:id="rId1"/>
    <sheet name="TOTAL - LCB" sheetId="2" r:id="rId2"/>
    <sheet name="BEIJING-DYY Trading-(2)มังคุด" sheetId="38" r:id="rId3"/>
    <sheet name="HUANG ZONG-Hainan Botai-DYY" sheetId="52" r:id="rId4"/>
    <sheet name="HUANG ZONG- GUOSHEN-DYY " sheetId="48" r:id="rId5"/>
    <sheet name="BOMING-HAINAN DYY-3" sheetId="40" r:id="rId6"/>
    <sheet name="Book" sheetId="58" r:id="rId7"/>
    <sheet name="Book Text" sheetId="49" r:id="rId8"/>
  </sheets>
  <externalReferences>
    <externalReference r:id="rId9"/>
  </externalReferences>
  <definedNames>
    <definedName name="_xlnm._FilterDatabase" localSheetId="1" hidden="1">'TOTAL - LCB'!$A$2:$AP$242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8" roundtripDataChecksum="psSmtg5GbeVn2KBjxnPAz7hMS8nIsLX3HLddA68sl8M="/>
    </ext>
  </extLst>
</workbook>
</file>

<file path=xl/calcChain.xml><?xml version="1.0" encoding="utf-8"?>
<calcChain xmlns="http://schemas.openxmlformats.org/spreadsheetml/2006/main">
  <c r="B29" i="58" l="1"/>
  <c r="B27" i="58"/>
  <c r="B26" i="58"/>
  <c r="B25" i="58"/>
  <c r="A22" i="58"/>
  <c r="A21" i="58"/>
  <c r="B19" i="58"/>
  <c r="B18" i="58"/>
  <c r="B17" i="58"/>
  <c r="B16" i="58"/>
  <c r="B15" i="58"/>
  <c r="B13" i="58"/>
  <c r="B12" i="58"/>
  <c r="B11" i="58"/>
  <c r="D10" i="58"/>
  <c r="B10" i="58"/>
  <c r="D9" i="58"/>
  <c r="A5" i="58"/>
  <c r="B6" i="58"/>
  <c r="B7" i="58"/>
  <c r="C13" i="58"/>
  <c r="B8" i="58"/>
  <c r="B1" i="58" l="1"/>
  <c r="A7" i="58"/>
  <c r="H37" i="49"/>
  <c r="H38" i="49"/>
  <c r="H39" i="49"/>
  <c r="H40" i="49"/>
  <c r="H41" i="49"/>
  <c r="I33" i="49"/>
  <c r="I34" i="49"/>
  <c r="I35" i="49"/>
  <c r="I36" i="49"/>
  <c r="I37" i="49"/>
  <c r="I38" i="49"/>
  <c r="I39" i="49"/>
  <c r="I40" i="49"/>
  <c r="I41" i="49"/>
  <c r="K32" i="49"/>
  <c r="K33" i="49"/>
  <c r="K34" i="49"/>
  <c r="K35" i="49"/>
  <c r="K36" i="49"/>
  <c r="J32" i="49"/>
  <c r="J33" i="49"/>
  <c r="J34" i="49"/>
  <c r="J35" i="49"/>
  <c r="J36" i="49"/>
  <c r="K31" i="49"/>
  <c r="J31" i="49"/>
  <c r="I31" i="49"/>
  <c r="I32" i="49"/>
  <c r="H31" i="49"/>
  <c r="H32" i="49"/>
  <c r="H33" i="49"/>
  <c r="H34" i="49"/>
  <c r="H35" i="49"/>
  <c r="H36" i="49"/>
  <c r="G39" i="49"/>
  <c r="G40" i="49"/>
  <c r="G41" i="49"/>
  <c r="G37" i="49"/>
  <c r="G38" i="49"/>
  <c r="G34" i="49"/>
  <c r="G35" i="49"/>
  <c r="G36" i="49"/>
  <c r="G31" i="49"/>
  <c r="G32" i="49"/>
  <c r="G33" i="49"/>
  <c r="Q233" i="2" l="1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N234" i="2"/>
  <c r="N235" i="2"/>
  <c r="B9" i="58" s="1"/>
  <c r="N236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M234" i="2"/>
  <c r="M235" i="2"/>
  <c r="M236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32" i="2"/>
  <c r="H231" i="2"/>
  <c r="U230" i="2"/>
  <c r="T230" i="2"/>
  <c r="R230" i="2"/>
  <c r="H230" i="2"/>
  <c r="K21" i="49" l="1"/>
  <c r="K22" i="49"/>
  <c r="K23" i="49"/>
  <c r="K24" i="49"/>
  <c r="K25" i="49"/>
  <c r="K26" i="49"/>
  <c r="K27" i="49"/>
  <c r="K28" i="49"/>
  <c r="K29" i="49"/>
  <c r="K30" i="49"/>
  <c r="K20" i="49"/>
  <c r="J21" i="49"/>
  <c r="J22" i="49"/>
  <c r="J23" i="49"/>
  <c r="J24" i="49"/>
  <c r="J25" i="49"/>
  <c r="J26" i="49"/>
  <c r="J27" i="49"/>
  <c r="J28" i="49"/>
  <c r="J29" i="49"/>
  <c r="J30" i="49"/>
  <c r="J20" i="49"/>
  <c r="G28" i="49"/>
  <c r="H28" i="49"/>
  <c r="I28" i="49"/>
  <c r="G29" i="49"/>
  <c r="H29" i="49"/>
  <c r="I29" i="49"/>
  <c r="G30" i="49"/>
  <c r="H30" i="49"/>
  <c r="I30" i="49"/>
  <c r="G18" i="49"/>
  <c r="H18" i="49"/>
  <c r="I18" i="49"/>
  <c r="G19" i="49"/>
  <c r="H19" i="49"/>
  <c r="I19" i="49"/>
  <c r="G20" i="49"/>
  <c r="H20" i="49"/>
  <c r="I20" i="49"/>
  <c r="G21" i="49"/>
  <c r="H21" i="49"/>
  <c r="I21" i="49"/>
  <c r="G22" i="49"/>
  <c r="H22" i="49"/>
  <c r="I22" i="49"/>
  <c r="G23" i="49"/>
  <c r="H23" i="49"/>
  <c r="I23" i="49"/>
  <c r="G24" i="49"/>
  <c r="H24" i="49"/>
  <c r="I24" i="49"/>
  <c r="G25" i="49"/>
  <c r="H25" i="49"/>
  <c r="I25" i="49"/>
  <c r="G26" i="49"/>
  <c r="H26" i="49"/>
  <c r="I26" i="49"/>
  <c r="G27" i="49"/>
  <c r="H27" i="49"/>
  <c r="I27" i="49"/>
  <c r="AR218" i="2"/>
  <c r="AQ218" i="2"/>
  <c r="AR217" i="2"/>
  <c r="AQ217" i="2"/>
  <c r="P216" i="2"/>
  <c r="O216" i="2"/>
  <c r="I17" i="49"/>
  <c r="H17" i="49"/>
  <c r="G17" i="49"/>
  <c r="I16" i="49"/>
  <c r="H16" i="49"/>
  <c r="G16" i="49"/>
  <c r="H15" i="49"/>
  <c r="I15" i="49"/>
  <c r="G15" i="49"/>
  <c r="AR214" i="2"/>
  <c r="AQ214" i="2"/>
  <c r="I12" i="49"/>
  <c r="I13" i="49"/>
  <c r="I14" i="49"/>
  <c r="H12" i="49"/>
  <c r="H13" i="49"/>
  <c r="H14" i="49"/>
  <c r="G14" i="49"/>
  <c r="G12" i="49"/>
  <c r="G13" i="49"/>
  <c r="I4" i="49"/>
  <c r="H4" i="49"/>
  <c r="G4" i="49"/>
  <c r="I5" i="49"/>
  <c r="H5" i="49"/>
  <c r="G5" i="49"/>
  <c r="I6" i="49"/>
  <c r="H6" i="49"/>
  <c r="G6" i="49"/>
  <c r="I7" i="49"/>
  <c r="H7" i="49"/>
  <c r="G7" i="49"/>
  <c r="I8" i="49"/>
  <c r="H8" i="49"/>
  <c r="G8" i="49"/>
  <c r="H11" i="49"/>
  <c r="G11" i="49"/>
  <c r="I10" i="49"/>
  <c r="I11" i="49"/>
  <c r="H10" i="49"/>
  <c r="G10" i="49"/>
  <c r="I9" i="49"/>
  <c r="H9" i="49"/>
  <c r="G9" i="49"/>
  <c r="P209" i="2"/>
  <c r="O209" i="2"/>
  <c r="P208" i="2"/>
  <c r="O208" i="2"/>
  <c r="T208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U207" i="2"/>
  <c r="U208" i="2"/>
  <c r="U209" i="2"/>
  <c r="U210" i="2"/>
  <c r="U211" i="2"/>
  <c r="U212" i="2"/>
  <c r="U213" i="2"/>
  <c r="U215" i="2"/>
  <c r="U216" i="2"/>
  <c r="U219" i="2"/>
  <c r="U220" i="2"/>
  <c r="U221" i="2"/>
  <c r="U222" i="2"/>
  <c r="U223" i="2"/>
  <c r="U224" i="2"/>
  <c r="U225" i="2"/>
  <c r="U226" i="2"/>
  <c r="U227" i="2"/>
  <c r="U228" i="2"/>
  <c r="U229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T209" i="2"/>
  <c r="T210" i="2"/>
  <c r="T211" i="2"/>
  <c r="T212" i="2"/>
  <c r="T213" i="2"/>
  <c r="T214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S210" i="2"/>
  <c r="S211" i="2"/>
  <c r="S212" i="2"/>
  <c r="S213" i="2"/>
  <c r="S222" i="2"/>
  <c r="B50" i="38" s="1"/>
  <c r="S223" i="2"/>
  <c r="S224" i="2"/>
  <c r="S227" i="2"/>
  <c r="S228" i="2"/>
  <c r="S231" i="2"/>
  <c r="S234" i="2"/>
  <c r="S236" i="2"/>
  <c r="S240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1" i="2"/>
  <c r="R232" i="2"/>
  <c r="R233" i="2"/>
  <c r="R234" i="2"/>
  <c r="R235" i="2"/>
  <c r="C8" i="58" s="1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Q211" i="2"/>
  <c r="Q213" i="2"/>
  <c r="Q214" i="2"/>
  <c r="Q215" i="2"/>
  <c r="Q217" i="2"/>
  <c r="Q218" i="2"/>
  <c r="Q223" i="2"/>
  <c r="Q224" i="2"/>
  <c r="Q225" i="2"/>
  <c r="Q226" i="2"/>
  <c r="Q227" i="2"/>
  <c r="Q231" i="2"/>
  <c r="P207" i="2"/>
  <c r="P210" i="2"/>
  <c r="P211" i="2"/>
  <c r="P213" i="2"/>
  <c r="P214" i="2"/>
  <c r="P215" i="2"/>
  <c r="P217" i="2"/>
  <c r="P219" i="2"/>
  <c r="P220" i="2"/>
  <c r="P221" i="2"/>
  <c r="P222" i="2"/>
  <c r="P223" i="2"/>
  <c r="P224" i="2"/>
  <c r="P225" i="2"/>
  <c r="P226" i="2"/>
  <c r="P227" i="2"/>
  <c r="P229" i="2"/>
  <c r="P231" i="2"/>
  <c r="O207" i="2"/>
  <c r="O210" i="2"/>
  <c r="O211" i="2"/>
  <c r="O213" i="2"/>
  <c r="O214" i="2"/>
  <c r="O215" i="2"/>
  <c r="O217" i="2"/>
  <c r="O219" i="2"/>
  <c r="O220" i="2"/>
  <c r="O221" i="2"/>
  <c r="O222" i="2"/>
  <c r="O223" i="2"/>
  <c r="O224" i="2"/>
  <c r="O225" i="2"/>
  <c r="O226" i="2"/>
  <c r="O227" i="2"/>
  <c r="O229" i="2"/>
  <c r="O231" i="2"/>
  <c r="N210" i="2"/>
  <c r="N213" i="2"/>
  <c r="N214" i="2"/>
  <c r="N215" i="2"/>
  <c r="N217" i="2"/>
  <c r="N218" i="2"/>
  <c r="N222" i="2"/>
  <c r="N223" i="2"/>
  <c r="N224" i="2"/>
  <c r="N225" i="2"/>
  <c r="N226" i="2"/>
  <c r="N207" i="2"/>
  <c r="M213" i="2"/>
  <c r="M214" i="2"/>
  <c r="M215" i="2"/>
  <c r="M217" i="2"/>
  <c r="M218" i="2"/>
  <c r="M222" i="2"/>
  <c r="M223" i="2"/>
  <c r="M224" i="2"/>
  <c r="M225" i="2"/>
  <c r="M226" i="2"/>
  <c r="M207" i="2"/>
  <c r="M210" i="2"/>
  <c r="U206" i="2"/>
  <c r="T206" i="2"/>
  <c r="S206" i="2"/>
  <c r="R206" i="2"/>
  <c r="Q206" i="2"/>
  <c r="P206" i="2"/>
  <c r="O206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08" i="2"/>
  <c r="H209" i="2"/>
  <c r="H210" i="2"/>
  <c r="H211" i="2"/>
  <c r="H207" i="2"/>
  <c r="H206" i="2"/>
  <c r="H205" i="2"/>
  <c r="AP205" i="2"/>
  <c r="U205" i="2"/>
  <c r="T205" i="2"/>
  <c r="R205" i="2"/>
  <c r="N194" i="2"/>
  <c r="M194" i="2"/>
  <c r="R191" i="2"/>
  <c r="Q191" i="2"/>
  <c r="P191" i="2"/>
  <c r="O191" i="2"/>
  <c r="N191" i="2"/>
  <c r="M191" i="2"/>
  <c r="B56" i="52"/>
  <c r="C44" i="52"/>
  <c r="D43" i="52"/>
  <c r="F41" i="52"/>
  <c r="C41" i="52"/>
  <c r="A29" i="52"/>
  <c r="P8" i="52"/>
  <c r="G7" i="52"/>
  <c r="G6" i="52"/>
  <c r="AJ4" i="52"/>
  <c r="AC34" i="52" s="1"/>
  <c r="B56" i="38"/>
  <c r="C44" i="38"/>
  <c r="D43" i="38"/>
  <c r="F41" i="38"/>
  <c r="C41" i="38"/>
  <c r="B29" i="38"/>
  <c r="A29" i="38"/>
  <c r="G7" i="38"/>
  <c r="G6" i="38"/>
  <c r="P192" i="2"/>
  <c r="O192" i="2"/>
  <c r="B61" i="40"/>
  <c r="B55" i="40"/>
  <c r="C49" i="40"/>
  <c r="D48" i="40"/>
  <c r="F46" i="40"/>
  <c r="C46" i="40"/>
  <c r="G29" i="40"/>
  <c r="F32" i="40"/>
  <c r="E32" i="40"/>
  <c r="A29" i="40"/>
  <c r="B29" i="40"/>
  <c r="G6" i="40"/>
  <c r="G7" i="40"/>
  <c r="B56" i="48"/>
  <c r="C44" i="48"/>
  <c r="D43" i="48"/>
  <c r="C41" i="48"/>
  <c r="F41" i="48"/>
  <c r="A29" i="48"/>
  <c r="G7" i="48"/>
  <c r="G6" i="48"/>
  <c r="B3" i="49"/>
  <c r="AO17" i="2"/>
  <c r="AP17" i="2" s="1"/>
  <c r="T17" i="2"/>
  <c r="S17" i="2"/>
  <c r="R17" i="2"/>
  <c r="H17" i="2"/>
  <c r="G17" i="2"/>
  <c r="AO16" i="2"/>
  <c r="AP16" i="2" s="1"/>
  <c r="U16" i="2"/>
  <c r="T16" i="2"/>
  <c r="S16" i="2"/>
  <c r="R16" i="2"/>
  <c r="Q16" i="2"/>
  <c r="P16" i="2"/>
  <c r="O16" i="2"/>
  <c r="N16" i="2"/>
  <c r="M16" i="2"/>
  <c r="H16" i="2"/>
  <c r="G16" i="2"/>
  <c r="AO15" i="2"/>
  <c r="AP15" i="2" s="1"/>
  <c r="U15" i="2"/>
  <c r="T15" i="2"/>
  <c r="S15" i="2"/>
  <c r="R15" i="2"/>
  <c r="Q15" i="2"/>
  <c r="P15" i="2"/>
  <c r="O15" i="2"/>
  <c r="N15" i="2"/>
  <c r="M15" i="2"/>
  <c r="H15" i="2"/>
  <c r="G15" i="2"/>
  <c r="AO14" i="2"/>
  <c r="AP14" i="2" s="1"/>
  <c r="U14" i="2"/>
  <c r="S14" i="2"/>
  <c r="R14" i="2"/>
  <c r="Q14" i="2"/>
  <c r="N14" i="2"/>
  <c r="M14" i="2"/>
  <c r="H14" i="2"/>
  <c r="G14" i="2"/>
  <c r="AO13" i="2"/>
  <c r="AP13" i="2" s="1"/>
  <c r="U13" i="2"/>
  <c r="S13" i="2"/>
  <c r="R13" i="2"/>
  <c r="Q13" i="2"/>
  <c r="P13" i="2"/>
  <c r="O13" i="2"/>
  <c r="N13" i="2"/>
  <c r="M13" i="2"/>
  <c r="H13" i="2"/>
  <c r="G13" i="2"/>
  <c r="AO12" i="2"/>
  <c r="AP12" i="2" s="1"/>
  <c r="U12" i="2"/>
  <c r="T12" i="2"/>
  <c r="S12" i="2"/>
  <c r="R12" i="2"/>
  <c r="Q12" i="2"/>
  <c r="P12" i="2"/>
  <c r="O12" i="2"/>
  <c r="N12" i="2"/>
  <c r="M12" i="2"/>
  <c r="H12" i="2"/>
  <c r="G12" i="2"/>
  <c r="AO11" i="2"/>
  <c r="AP11" i="2" s="1"/>
  <c r="U11" i="2"/>
  <c r="T11" i="2"/>
  <c r="S11" i="2"/>
  <c r="R11" i="2"/>
  <c r="Q11" i="2"/>
  <c r="P11" i="2"/>
  <c r="O11" i="2"/>
  <c r="N11" i="2"/>
  <c r="M11" i="2"/>
  <c r="H11" i="2"/>
  <c r="G11" i="2"/>
  <c r="AO10" i="2"/>
  <c r="AP10" i="2" s="1"/>
  <c r="U10" i="2"/>
  <c r="T10" i="2"/>
  <c r="S10" i="2"/>
  <c r="R10" i="2"/>
  <c r="Q10" i="2"/>
  <c r="P10" i="2"/>
  <c r="O10" i="2"/>
  <c r="N10" i="2"/>
  <c r="M10" i="2"/>
  <c r="H10" i="2"/>
  <c r="G10" i="2"/>
  <c r="AO9" i="2"/>
  <c r="AP9" i="2" s="1"/>
  <c r="U9" i="2"/>
  <c r="T9" i="2"/>
  <c r="S9" i="2"/>
  <c r="R9" i="2"/>
  <c r="Q9" i="2"/>
  <c r="P9" i="2"/>
  <c r="O9" i="2"/>
  <c r="N9" i="2"/>
  <c r="M9" i="2"/>
  <c r="H9" i="2"/>
  <c r="G9" i="2"/>
  <c r="AO8" i="2"/>
  <c r="AP8" i="2" s="1"/>
  <c r="U8" i="2"/>
  <c r="T8" i="2"/>
  <c r="S8" i="2"/>
  <c r="R8" i="2"/>
  <c r="Q8" i="2"/>
  <c r="P8" i="2"/>
  <c r="O8" i="2"/>
  <c r="N8" i="2"/>
  <c r="M8" i="2"/>
  <c r="H8" i="2"/>
  <c r="G8" i="2"/>
  <c r="AO7" i="2"/>
  <c r="AP7" i="2" s="1"/>
  <c r="U7" i="2"/>
  <c r="T7" i="2"/>
  <c r="S7" i="2"/>
  <c r="R7" i="2"/>
  <c r="Q7" i="2"/>
  <c r="P7" i="2"/>
  <c r="O7" i="2"/>
  <c r="N7" i="2"/>
  <c r="M7" i="2"/>
  <c r="H7" i="2"/>
  <c r="G7" i="2"/>
  <c r="AO6" i="2"/>
  <c r="AP6" i="2" s="1"/>
  <c r="U6" i="2"/>
  <c r="T6" i="2"/>
  <c r="S6" i="2"/>
  <c r="R6" i="2"/>
  <c r="Q6" i="2"/>
  <c r="P6" i="2"/>
  <c r="O6" i="2"/>
  <c r="N6" i="2"/>
  <c r="M6" i="2"/>
  <c r="H6" i="2"/>
  <c r="G6" i="2"/>
  <c r="AO5" i="2"/>
  <c r="AP5" i="2" s="1"/>
  <c r="U5" i="2"/>
  <c r="T5" i="2"/>
  <c r="S5" i="2"/>
  <c r="R5" i="2"/>
  <c r="Q5" i="2"/>
  <c r="P5" i="2"/>
  <c r="O5" i="2"/>
  <c r="N5" i="2"/>
  <c r="M5" i="2"/>
  <c r="H5" i="2"/>
  <c r="G5" i="2"/>
  <c r="AO4" i="2"/>
  <c r="AP4" i="2" s="1"/>
  <c r="U4" i="2"/>
  <c r="T4" i="2"/>
  <c r="S4" i="2"/>
  <c r="R4" i="2"/>
  <c r="Q4" i="2"/>
  <c r="P4" i="2"/>
  <c r="O4" i="2"/>
  <c r="N4" i="2"/>
  <c r="M4" i="2"/>
  <c r="H4" i="2"/>
  <c r="G4" i="2"/>
  <c r="AQ3" i="2"/>
  <c r="AO3" i="2" s="1"/>
  <c r="AP3" i="2" s="1"/>
  <c r="U3" i="2"/>
  <c r="T3" i="2"/>
  <c r="S3" i="2"/>
  <c r="R3" i="2"/>
  <c r="Q3" i="2"/>
  <c r="P3" i="2"/>
  <c r="O3" i="2"/>
  <c r="N3" i="2"/>
  <c r="M3" i="2"/>
  <c r="G29" i="38" l="1"/>
  <c r="AJ17" i="52"/>
  <c r="AB28" i="52"/>
  <c r="AB30" i="52"/>
  <c r="L42" i="52"/>
  <c r="AE30" i="52"/>
  <c r="P29" i="52"/>
  <c r="P6" i="52"/>
  <c r="M43" i="52"/>
  <c r="AB39" i="52"/>
  <c r="L44" i="52"/>
  <c r="J29" i="52"/>
  <c r="S26" i="52" s="1"/>
  <c r="P7" i="52"/>
  <c r="Y8" i="52"/>
  <c r="AB33" i="52"/>
  <c r="L41" i="52"/>
  <c r="AR182" i="2"/>
  <c r="AQ182" i="2"/>
  <c r="B25" i="49"/>
  <c r="B26" i="49"/>
  <c r="V41" i="52" l="1"/>
  <c r="Y7" i="52"/>
  <c r="U40" i="52"/>
  <c r="U39" i="52"/>
  <c r="X26" i="52"/>
  <c r="Y6" i="52"/>
  <c r="U42" i="52"/>
  <c r="B13" i="49"/>
  <c r="C25" i="49"/>
  <c r="M38" i="40"/>
  <c r="T28" i="40" s="1"/>
  <c r="O39" i="40"/>
  <c r="O35" i="40"/>
  <c r="X28" i="40"/>
  <c r="X27" i="40"/>
  <c r="O40" i="40"/>
  <c r="N40" i="40"/>
  <c r="O36" i="40"/>
  <c r="N36" i="40"/>
  <c r="O175" i="2"/>
  <c r="K38" i="40"/>
  <c r="K34" i="40"/>
  <c r="M34" i="40"/>
  <c r="T27" i="40" s="1"/>
  <c r="L38" i="40"/>
  <c r="L34" i="40"/>
  <c r="T178" i="2"/>
  <c r="P8" i="48"/>
  <c r="AJ4" i="48"/>
  <c r="AR172" i="2"/>
  <c r="AQ172" i="2"/>
  <c r="AR175" i="2"/>
  <c r="AR177" i="2"/>
  <c r="AR179" i="2"/>
  <c r="AR181" i="2"/>
  <c r="AR183" i="2"/>
  <c r="AR184" i="2"/>
  <c r="AR186" i="2"/>
  <c r="AR187" i="2"/>
  <c r="AR189" i="2"/>
  <c r="AR190" i="2"/>
  <c r="AR192" i="2"/>
  <c r="AR194" i="2"/>
  <c r="AR196" i="2"/>
  <c r="AR197" i="2"/>
  <c r="AR198" i="2"/>
  <c r="AR202" i="2"/>
  <c r="AR203" i="2"/>
  <c r="AQ175" i="2"/>
  <c r="AQ177" i="2"/>
  <c r="AQ179" i="2"/>
  <c r="AQ181" i="2"/>
  <c r="AQ183" i="2"/>
  <c r="AQ184" i="2"/>
  <c r="AQ186" i="2"/>
  <c r="AQ187" i="2"/>
  <c r="AQ189" i="2"/>
  <c r="AQ190" i="2"/>
  <c r="AQ192" i="2"/>
  <c r="AQ194" i="2"/>
  <c r="AQ196" i="2"/>
  <c r="AQ197" i="2"/>
  <c r="AQ198" i="2"/>
  <c r="AQ202" i="2"/>
  <c r="AQ203" i="2"/>
  <c r="AR168" i="2"/>
  <c r="AQ168" i="2"/>
  <c r="Q168" i="2"/>
  <c r="O36" i="38"/>
  <c r="N36" i="38"/>
  <c r="K34" i="38"/>
  <c r="V27" i="38" s="1"/>
  <c r="M156" i="2"/>
  <c r="V28" i="40"/>
  <c r="O159" i="2"/>
  <c r="O162" i="2"/>
  <c r="O38" i="40"/>
  <c r="N38" i="40"/>
  <c r="Q38" i="40" s="1"/>
  <c r="F38" i="40"/>
  <c r="E38" i="40"/>
  <c r="H38" i="40" s="1"/>
  <c r="AH38" i="40"/>
  <c r="O34" i="40"/>
  <c r="N34" i="40"/>
  <c r="Q34" i="40" s="1"/>
  <c r="F34" i="40"/>
  <c r="E34" i="40"/>
  <c r="H34" i="40" s="1"/>
  <c r="W27" i="40"/>
  <c r="Z27" i="40" s="1"/>
  <c r="V27" i="40"/>
  <c r="P8" i="40"/>
  <c r="AJ4" i="40"/>
  <c r="H161" i="2"/>
  <c r="S153" i="2"/>
  <c r="AH38" i="38"/>
  <c r="F34" i="38"/>
  <c r="E34" i="38"/>
  <c r="B38" i="38"/>
  <c r="P8" i="38"/>
  <c r="AJ4" i="38"/>
  <c r="AP146" i="2"/>
  <c r="U146" i="2"/>
  <c r="T146" i="2"/>
  <c r="S146" i="2"/>
  <c r="R146" i="2"/>
  <c r="H146" i="2"/>
  <c r="O132" i="2"/>
  <c r="AP122" i="2"/>
  <c r="U122" i="2"/>
  <c r="S122" i="2"/>
  <c r="R122" i="2"/>
  <c r="Q122" i="2"/>
  <c r="P122" i="2"/>
  <c r="O122" i="2"/>
  <c r="N122" i="2"/>
  <c r="M122" i="2"/>
  <c r="H122" i="2"/>
  <c r="H123" i="2"/>
  <c r="M123" i="2"/>
  <c r="N123" i="2"/>
  <c r="O123" i="2"/>
  <c r="P123" i="2"/>
  <c r="R123" i="2"/>
  <c r="S123" i="2"/>
  <c r="U123" i="2"/>
  <c r="AP123" i="2"/>
  <c r="AP121" i="2"/>
  <c r="U121" i="2"/>
  <c r="S121" i="2"/>
  <c r="R121" i="2"/>
  <c r="Q121" i="2"/>
  <c r="P121" i="2"/>
  <c r="O121" i="2"/>
  <c r="N121" i="2"/>
  <c r="M121" i="2"/>
  <c r="H121" i="2"/>
  <c r="AP119" i="2"/>
  <c r="U119" i="2"/>
  <c r="S119" i="2"/>
  <c r="R119" i="2"/>
  <c r="N119" i="2"/>
  <c r="M119" i="2"/>
  <c r="H119" i="2"/>
  <c r="AP118" i="2"/>
  <c r="U118" i="2"/>
  <c r="S118" i="2"/>
  <c r="R118" i="2"/>
  <c r="Q118" i="2"/>
  <c r="P118" i="2"/>
  <c r="O118" i="2"/>
  <c r="N118" i="2"/>
  <c r="M118" i="2"/>
  <c r="H118" i="2"/>
  <c r="G105" i="2"/>
  <c r="M105" i="2"/>
  <c r="H93" i="2"/>
  <c r="H94" i="2"/>
  <c r="H95" i="2"/>
  <c r="H96" i="2"/>
  <c r="H97" i="2"/>
  <c r="H98" i="2"/>
  <c r="H99" i="2"/>
  <c r="H100" i="2"/>
  <c r="H101" i="2"/>
  <c r="H102" i="2"/>
  <c r="H103" i="2"/>
  <c r="H104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20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M93" i="2"/>
  <c r="N93" i="2"/>
  <c r="O93" i="2"/>
  <c r="P93" i="2"/>
  <c r="Q93" i="2"/>
  <c r="M94" i="2"/>
  <c r="N94" i="2"/>
  <c r="O94" i="2"/>
  <c r="P94" i="2"/>
  <c r="Q94" i="2"/>
  <c r="M95" i="2"/>
  <c r="N95" i="2"/>
  <c r="O95" i="2"/>
  <c r="P95" i="2"/>
  <c r="Q95" i="2"/>
  <c r="M96" i="2"/>
  <c r="N96" i="2"/>
  <c r="O96" i="2"/>
  <c r="P96" i="2"/>
  <c r="Q96" i="2"/>
  <c r="M97" i="2"/>
  <c r="N97" i="2"/>
  <c r="O97" i="2"/>
  <c r="P97" i="2"/>
  <c r="Q97" i="2"/>
  <c r="M98" i="2"/>
  <c r="N98" i="2"/>
  <c r="O98" i="2"/>
  <c r="P98" i="2"/>
  <c r="Q98" i="2"/>
  <c r="M99" i="2"/>
  <c r="N99" i="2"/>
  <c r="O99" i="2"/>
  <c r="P99" i="2"/>
  <c r="Q99" i="2"/>
  <c r="M100" i="2"/>
  <c r="N100" i="2"/>
  <c r="O100" i="2"/>
  <c r="P100" i="2"/>
  <c r="Q100" i="2"/>
  <c r="M101" i="2"/>
  <c r="N101" i="2"/>
  <c r="O101" i="2"/>
  <c r="P101" i="2"/>
  <c r="Q101" i="2"/>
  <c r="M102" i="2"/>
  <c r="N102" i="2"/>
  <c r="O102" i="2"/>
  <c r="P102" i="2"/>
  <c r="Q102" i="2"/>
  <c r="M103" i="2"/>
  <c r="N103" i="2"/>
  <c r="O103" i="2"/>
  <c r="P103" i="2"/>
  <c r="Q103" i="2"/>
  <c r="M104" i="2"/>
  <c r="N104" i="2"/>
  <c r="O104" i="2"/>
  <c r="P104" i="2"/>
  <c r="Q104" i="2"/>
  <c r="N105" i="2"/>
  <c r="O105" i="2"/>
  <c r="P105" i="2"/>
  <c r="Q105" i="2"/>
  <c r="M106" i="2"/>
  <c r="N106" i="2"/>
  <c r="O106" i="2"/>
  <c r="P106" i="2"/>
  <c r="Q106" i="2"/>
  <c r="M107" i="2"/>
  <c r="N107" i="2"/>
  <c r="O107" i="2"/>
  <c r="P107" i="2"/>
  <c r="Q107" i="2"/>
  <c r="M108" i="2"/>
  <c r="N108" i="2"/>
  <c r="O108" i="2"/>
  <c r="P108" i="2"/>
  <c r="Q108" i="2"/>
  <c r="M109" i="2"/>
  <c r="N109" i="2"/>
  <c r="O109" i="2"/>
  <c r="P109" i="2"/>
  <c r="Q109" i="2"/>
  <c r="M110" i="2"/>
  <c r="N110" i="2"/>
  <c r="O110" i="2"/>
  <c r="P110" i="2"/>
  <c r="Q110" i="2"/>
  <c r="M111" i="2"/>
  <c r="N111" i="2"/>
  <c r="O111" i="2"/>
  <c r="P111" i="2"/>
  <c r="Q111" i="2"/>
  <c r="M112" i="2"/>
  <c r="N112" i="2"/>
  <c r="O112" i="2"/>
  <c r="P112" i="2"/>
  <c r="Q112" i="2"/>
  <c r="M113" i="2"/>
  <c r="N113" i="2"/>
  <c r="O113" i="2"/>
  <c r="P113" i="2"/>
  <c r="Q113" i="2"/>
  <c r="M114" i="2"/>
  <c r="N114" i="2"/>
  <c r="O114" i="2"/>
  <c r="P114" i="2"/>
  <c r="Q114" i="2"/>
  <c r="M115" i="2"/>
  <c r="N115" i="2"/>
  <c r="O115" i="2"/>
  <c r="P115" i="2"/>
  <c r="Q115" i="2"/>
  <c r="M116" i="2"/>
  <c r="N116" i="2"/>
  <c r="O116" i="2"/>
  <c r="P116" i="2"/>
  <c r="Q116" i="2"/>
  <c r="M117" i="2"/>
  <c r="N117" i="2"/>
  <c r="O117" i="2"/>
  <c r="P117" i="2"/>
  <c r="Q117" i="2"/>
  <c r="M120" i="2"/>
  <c r="N120" i="2"/>
  <c r="O120" i="2"/>
  <c r="P120" i="2"/>
  <c r="Q120" i="2"/>
  <c r="M124" i="2"/>
  <c r="N124" i="2"/>
  <c r="M125" i="2"/>
  <c r="N125" i="2"/>
  <c r="O125" i="2"/>
  <c r="P125" i="2"/>
  <c r="Q125" i="2"/>
  <c r="M126" i="2"/>
  <c r="N126" i="2"/>
  <c r="O126" i="2"/>
  <c r="P126" i="2"/>
  <c r="Q126" i="2"/>
  <c r="M127" i="2"/>
  <c r="N127" i="2"/>
  <c r="O127" i="2"/>
  <c r="P127" i="2"/>
  <c r="Q127" i="2"/>
  <c r="M128" i="2"/>
  <c r="N128" i="2"/>
  <c r="O128" i="2"/>
  <c r="P128" i="2"/>
  <c r="Q128" i="2"/>
  <c r="M129" i="2"/>
  <c r="N129" i="2"/>
  <c r="O129" i="2"/>
  <c r="P129" i="2"/>
  <c r="Q129" i="2"/>
  <c r="M130" i="2"/>
  <c r="N130" i="2"/>
  <c r="O130" i="2"/>
  <c r="P130" i="2"/>
  <c r="Q130" i="2"/>
  <c r="M131" i="2"/>
  <c r="N131" i="2"/>
  <c r="O131" i="2"/>
  <c r="P131" i="2"/>
  <c r="Q131" i="2"/>
  <c r="M132" i="2"/>
  <c r="N132" i="2"/>
  <c r="P132" i="2"/>
  <c r="Q132" i="2"/>
  <c r="M133" i="2"/>
  <c r="N133" i="2"/>
  <c r="O133" i="2"/>
  <c r="P133" i="2"/>
  <c r="M134" i="2"/>
  <c r="N134" i="2"/>
  <c r="O134" i="2"/>
  <c r="P134" i="2"/>
  <c r="Q134" i="2"/>
  <c r="M135" i="2"/>
  <c r="N135" i="2"/>
  <c r="O135" i="2"/>
  <c r="P135" i="2"/>
  <c r="Q135" i="2"/>
  <c r="M136" i="2"/>
  <c r="N136" i="2"/>
  <c r="O136" i="2"/>
  <c r="P136" i="2"/>
  <c r="M137" i="2"/>
  <c r="N137" i="2"/>
  <c r="M138" i="2"/>
  <c r="N138" i="2"/>
  <c r="O138" i="2"/>
  <c r="P138" i="2"/>
  <c r="Q138" i="2"/>
  <c r="M140" i="2"/>
  <c r="N140" i="2"/>
  <c r="O140" i="2"/>
  <c r="P140" i="2"/>
  <c r="Q140" i="2"/>
  <c r="M143" i="2"/>
  <c r="N143" i="2"/>
  <c r="O143" i="2"/>
  <c r="P143" i="2"/>
  <c r="M144" i="2"/>
  <c r="N144" i="2"/>
  <c r="O144" i="2"/>
  <c r="P144" i="2"/>
  <c r="Q144" i="2"/>
  <c r="M145" i="2"/>
  <c r="N145" i="2"/>
  <c r="O145" i="2"/>
  <c r="P145" i="2"/>
  <c r="Q145" i="2"/>
  <c r="M147" i="2"/>
  <c r="N147" i="2"/>
  <c r="P147" i="2"/>
  <c r="Q147" i="2"/>
  <c r="M148" i="2"/>
  <c r="N148" i="2"/>
  <c r="O148" i="2"/>
  <c r="P148" i="2"/>
  <c r="Q148" i="2"/>
  <c r="M149" i="2"/>
  <c r="N149" i="2"/>
  <c r="O149" i="2"/>
  <c r="P149" i="2"/>
  <c r="Q149" i="2"/>
  <c r="M150" i="2"/>
  <c r="N150" i="2"/>
  <c r="P150" i="2"/>
  <c r="M151" i="2"/>
  <c r="N151" i="2"/>
  <c r="O151" i="2"/>
  <c r="P151" i="2"/>
  <c r="M152" i="2"/>
  <c r="N152" i="2"/>
  <c r="P152" i="2"/>
  <c r="M153" i="2"/>
  <c r="N153" i="2"/>
  <c r="O153" i="2"/>
  <c r="P153" i="2"/>
  <c r="Q153" i="2"/>
  <c r="M154" i="2"/>
  <c r="N154" i="2"/>
  <c r="O154" i="2"/>
  <c r="P154" i="2"/>
  <c r="Q154" i="2"/>
  <c r="P155" i="2"/>
  <c r="N156" i="2"/>
  <c r="P156" i="2"/>
  <c r="P157" i="2"/>
  <c r="P158" i="2"/>
  <c r="P159" i="2"/>
  <c r="P160" i="2"/>
  <c r="P161" i="2"/>
  <c r="P162" i="2"/>
  <c r="M163" i="2"/>
  <c r="N163" i="2"/>
  <c r="Q163" i="2"/>
  <c r="O164" i="2"/>
  <c r="P164" i="2"/>
  <c r="O165" i="2"/>
  <c r="P165" i="2"/>
  <c r="O166" i="2"/>
  <c r="P166" i="2"/>
  <c r="O167" i="2"/>
  <c r="P167" i="2"/>
  <c r="M168" i="2"/>
  <c r="N168" i="2"/>
  <c r="O168" i="2"/>
  <c r="P168" i="2"/>
  <c r="O169" i="2"/>
  <c r="P169" i="2"/>
  <c r="O170" i="2"/>
  <c r="P170" i="2"/>
  <c r="O171" i="2"/>
  <c r="P171" i="2"/>
  <c r="M172" i="2"/>
  <c r="N172" i="2"/>
  <c r="O172" i="2"/>
  <c r="P172" i="2"/>
  <c r="Q172" i="2"/>
  <c r="M173" i="2"/>
  <c r="N173" i="2"/>
  <c r="O173" i="2"/>
  <c r="P173" i="2"/>
  <c r="Q173" i="2"/>
  <c r="P175" i="2"/>
  <c r="M176" i="2"/>
  <c r="N176" i="2"/>
  <c r="O176" i="2"/>
  <c r="P176" i="2"/>
  <c r="Q176" i="2"/>
  <c r="O177" i="2"/>
  <c r="P177" i="2"/>
  <c r="M180" i="2"/>
  <c r="N180" i="2"/>
  <c r="P180" i="2"/>
  <c r="Q180" i="2"/>
  <c r="O181" i="2"/>
  <c r="P181" i="2"/>
  <c r="M182" i="2"/>
  <c r="N182" i="2"/>
  <c r="Q182" i="2"/>
  <c r="O183" i="2"/>
  <c r="P183" i="2"/>
  <c r="M184" i="2"/>
  <c r="N184" i="2"/>
  <c r="Q184" i="2"/>
  <c r="N185" i="2"/>
  <c r="O185" i="2"/>
  <c r="P185" i="2"/>
  <c r="Q185" i="2"/>
  <c r="O186" i="2"/>
  <c r="P186" i="2"/>
  <c r="M187" i="2"/>
  <c r="N187" i="2"/>
  <c r="Q187" i="2"/>
  <c r="N188" i="2"/>
  <c r="O188" i="2"/>
  <c r="P188" i="2"/>
  <c r="Q188" i="2"/>
  <c r="M189" i="2"/>
  <c r="N189" i="2"/>
  <c r="O189" i="2"/>
  <c r="P189" i="2"/>
  <c r="Q189" i="2"/>
  <c r="M190" i="2"/>
  <c r="N190" i="2"/>
  <c r="O190" i="2"/>
  <c r="P190" i="2"/>
  <c r="Q190" i="2"/>
  <c r="Q193" i="2"/>
  <c r="P194" i="2"/>
  <c r="Q194" i="2"/>
  <c r="O195" i="2"/>
  <c r="P195" i="2"/>
  <c r="Q195" i="2"/>
  <c r="M196" i="2"/>
  <c r="N196" i="2"/>
  <c r="O196" i="2"/>
  <c r="P196" i="2"/>
  <c r="Q196" i="2"/>
  <c r="M197" i="2"/>
  <c r="N197" i="2"/>
  <c r="O197" i="2"/>
  <c r="P197" i="2"/>
  <c r="Q197" i="2"/>
  <c r="O199" i="2"/>
  <c r="P199" i="2"/>
  <c r="Q199" i="2"/>
  <c r="O200" i="2"/>
  <c r="P200" i="2"/>
  <c r="Q200" i="2"/>
  <c r="M201" i="2"/>
  <c r="N201" i="2"/>
  <c r="O201" i="2"/>
  <c r="P201" i="2"/>
  <c r="Q201" i="2"/>
  <c r="O203" i="2"/>
  <c r="P203" i="2"/>
  <c r="R95" i="2"/>
  <c r="S95" i="2"/>
  <c r="T95" i="2"/>
  <c r="U95" i="2"/>
  <c r="R96" i="2"/>
  <c r="S96" i="2"/>
  <c r="T96" i="2"/>
  <c r="U96" i="2"/>
  <c r="R97" i="2"/>
  <c r="S97" i="2"/>
  <c r="T97" i="2"/>
  <c r="U97" i="2"/>
  <c r="R98" i="2"/>
  <c r="S98" i="2"/>
  <c r="T98" i="2"/>
  <c r="U98" i="2"/>
  <c r="R99" i="2"/>
  <c r="S99" i="2"/>
  <c r="T99" i="2"/>
  <c r="U99" i="2"/>
  <c r="R100" i="2"/>
  <c r="S100" i="2"/>
  <c r="T100" i="2"/>
  <c r="U100" i="2"/>
  <c r="R101" i="2"/>
  <c r="S101" i="2"/>
  <c r="T101" i="2"/>
  <c r="U101" i="2"/>
  <c r="R102" i="2"/>
  <c r="S102" i="2"/>
  <c r="T102" i="2"/>
  <c r="U102" i="2"/>
  <c r="R103" i="2"/>
  <c r="S103" i="2"/>
  <c r="T103" i="2"/>
  <c r="U103" i="2"/>
  <c r="R104" i="2"/>
  <c r="S104" i="2"/>
  <c r="T104" i="2"/>
  <c r="U104" i="2"/>
  <c r="R105" i="2"/>
  <c r="S105" i="2"/>
  <c r="T105" i="2"/>
  <c r="U105" i="2"/>
  <c r="R106" i="2"/>
  <c r="S106" i="2"/>
  <c r="T106" i="2"/>
  <c r="U106" i="2"/>
  <c r="R107" i="2"/>
  <c r="S107" i="2"/>
  <c r="T107" i="2"/>
  <c r="U107" i="2"/>
  <c r="R108" i="2"/>
  <c r="S108" i="2"/>
  <c r="T108" i="2"/>
  <c r="U108" i="2"/>
  <c r="R109" i="2"/>
  <c r="S109" i="2"/>
  <c r="U109" i="2"/>
  <c r="R110" i="2"/>
  <c r="S110" i="2"/>
  <c r="T110" i="2"/>
  <c r="U110" i="2"/>
  <c r="R111" i="2"/>
  <c r="S111" i="2"/>
  <c r="U111" i="2"/>
  <c r="R112" i="2"/>
  <c r="S112" i="2"/>
  <c r="T112" i="2"/>
  <c r="U112" i="2"/>
  <c r="R113" i="2"/>
  <c r="S113" i="2"/>
  <c r="U113" i="2"/>
  <c r="R114" i="2"/>
  <c r="S114" i="2"/>
  <c r="T114" i="2"/>
  <c r="U114" i="2"/>
  <c r="R115" i="2"/>
  <c r="S115" i="2"/>
  <c r="U115" i="2"/>
  <c r="R116" i="2"/>
  <c r="S116" i="2"/>
  <c r="U116" i="2"/>
  <c r="R117" i="2"/>
  <c r="S117" i="2"/>
  <c r="U117" i="2"/>
  <c r="R120" i="2"/>
  <c r="S120" i="2"/>
  <c r="U120" i="2"/>
  <c r="R124" i="2"/>
  <c r="S124" i="2"/>
  <c r="U124" i="2"/>
  <c r="R125" i="2"/>
  <c r="S125" i="2"/>
  <c r="U125" i="2"/>
  <c r="R126" i="2"/>
  <c r="S126" i="2"/>
  <c r="U126" i="2"/>
  <c r="R127" i="2"/>
  <c r="S127" i="2"/>
  <c r="U127" i="2"/>
  <c r="R128" i="2"/>
  <c r="S128" i="2"/>
  <c r="U128" i="2"/>
  <c r="R129" i="2"/>
  <c r="S129" i="2"/>
  <c r="U129" i="2"/>
  <c r="R130" i="2"/>
  <c r="S130" i="2"/>
  <c r="U130" i="2"/>
  <c r="R131" i="2"/>
  <c r="S131" i="2"/>
  <c r="U131" i="2"/>
  <c r="R132" i="2"/>
  <c r="S132" i="2"/>
  <c r="T132" i="2"/>
  <c r="U132" i="2"/>
  <c r="R133" i="2"/>
  <c r="S133" i="2"/>
  <c r="T133" i="2"/>
  <c r="U133" i="2"/>
  <c r="R134" i="2"/>
  <c r="S134" i="2"/>
  <c r="T134" i="2"/>
  <c r="U134" i="2"/>
  <c r="R135" i="2"/>
  <c r="S135" i="2"/>
  <c r="T135" i="2"/>
  <c r="U135" i="2"/>
  <c r="R136" i="2"/>
  <c r="S136" i="2"/>
  <c r="T136" i="2"/>
  <c r="U136" i="2"/>
  <c r="R137" i="2"/>
  <c r="S137" i="2"/>
  <c r="T137" i="2"/>
  <c r="U137" i="2"/>
  <c r="R138" i="2"/>
  <c r="S138" i="2"/>
  <c r="T138" i="2"/>
  <c r="U138" i="2"/>
  <c r="R139" i="2"/>
  <c r="S139" i="2"/>
  <c r="T139" i="2"/>
  <c r="U139" i="2"/>
  <c r="R140" i="2"/>
  <c r="S140" i="2"/>
  <c r="T140" i="2"/>
  <c r="U140" i="2"/>
  <c r="R141" i="2"/>
  <c r="S141" i="2"/>
  <c r="T141" i="2"/>
  <c r="U141" i="2"/>
  <c r="R142" i="2"/>
  <c r="S142" i="2"/>
  <c r="T142" i="2"/>
  <c r="U142" i="2"/>
  <c r="R143" i="2"/>
  <c r="S143" i="2"/>
  <c r="T143" i="2"/>
  <c r="U143" i="2"/>
  <c r="R144" i="2"/>
  <c r="S144" i="2"/>
  <c r="T144" i="2"/>
  <c r="U144" i="2"/>
  <c r="R145" i="2"/>
  <c r="S145" i="2"/>
  <c r="T145" i="2"/>
  <c r="U145" i="2"/>
  <c r="R147" i="2"/>
  <c r="S147" i="2"/>
  <c r="T147" i="2"/>
  <c r="U147" i="2"/>
  <c r="R148" i="2"/>
  <c r="S148" i="2"/>
  <c r="T148" i="2"/>
  <c r="U148" i="2"/>
  <c r="R149" i="2"/>
  <c r="S149" i="2"/>
  <c r="T149" i="2"/>
  <c r="U149" i="2"/>
  <c r="R150" i="2"/>
  <c r="S150" i="2"/>
  <c r="T150" i="2"/>
  <c r="U150" i="2"/>
  <c r="R151" i="2"/>
  <c r="S151" i="2"/>
  <c r="T151" i="2"/>
  <c r="U151" i="2"/>
  <c r="R152" i="2"/>
  <c r="S152" i="2"/>
  <c r="T152" i="2"/>
  <c r="U152" i="2"/>
  <c r="R153" i="2"/>
  <c r="T153" i="2"/>
  <c r="U153" i="2"/>
  <c r="R154" i="2"/>
  <c r="S154" i="2"/>
  <c r="T154" i="2"/>
  <c r="U154" i="2"/>
  <c r="R155" i="2"/>
  <c r="S155" i="2"/>
  <c r="T155" i="2"/>
  <c r="U155" i="2"/>
  <c r="R156" i="2"/>
  <c r="S156" i="2"/>
  <c r="T156" i="2"/>
  <c r="U156" i="2"/>
  <c r="R157" i="2"/>
  <c r="S157" i="2"/>
  <c r="T157" i="2"/>
  <c r="U157" i="2"/>
  <c r="R158" i="2"/>
  <c r="T158" i="2"/>
  <c r="U158" i="2"/>
  <c r="R159" i="2"/>
  <c r="T159" i="2"/>
  <c r="U159" i="2"/>
  <c r="R160" i="2"/>
  <c r="T160" i="2"/>
  <c r="U160" i="2"/>
  <c r="R161" i="2"/>
  <c r="T161" i="2"/>
  <c r="U161" i="2"/>
  <c r="R162" i="2"/>
  <c r="T162" i="2"/>
  <c r="U162" i="2"/>
  <c r="R163" i="2"/>
  <c r="T163" i="2"/>
  <c r="U163" i="2"/>
  <c r="R164" i="2"/>
  <c r="S164" i="2"/>
  <c r="T164" i="2"/>
  <c r="U164" i="2"/>
  <c r="R165" i="2"/>
  <c r="S165" i="2"/>
  <c r="U165" i="2"/>
  <c r="R166" i="2"/>
  <c r="S166" i="2"/>
  <c r="U166" i="2"/>
  <c r="R167" i="2"/>
  <c r="S167" i="2"/>
  <c r="T167" i="2"/>
  <c r="U167" i="2"/>
  <c r="R168" i="2"/>
  <c r="S168" i="2"/>
  <c r="T168" i="2"/>
  <c r="U168" i="2"/>
  <c r="R169" i="2"/>
  <c r="S169" i="2"/>
  <c r="T169" i="2"/>
  <c r="U169" i="2"/>
  <c r="R170" i="2"/>
  <c r="S170" i="2"/>
  <c r="T170" i="2"/>
  <c r="U170" i="2"/>
  <c r="R171" i="2"/>
  <c r="S171" i="2"/>
  <c r="T171" i="2"/>
  <c r="U171" i="2"/>
  <c r="R172" i="2"/>
  <c r="S172" i="2"/>
  <c r="T172" i="2"/>
  <c r="U172" i="2"/>
  <c r="R173" i="2"/>
  <c r="S173" i="2"/>
  <c r="T173" i="2"/>
  <c r="U173" i="2"/>
  <c r="R174" i="2"/>
  <c r="T174" i="2"/>
  <c r="U174" i="2"/>
  <c r="R175" i="2"/>
  <c r="T175" i="2"/>
  <c r="U175" i="2"/>
  <c r="R176" i="2"/>
  <c r="S176" i="2"/>
  <c r="T176" i="2"/>
  <c r="U176" i="2"/>
  <c r="R177" i="2"/>
  <c r="T177" i="2"/>
  <c r="U177" i="2"/>
  <c r="R178" i="2"/>
  <c r="U178" i="2"/>
  <c r="R179" i="2"/>
  <c r="T179" i="2"/>
  <c r="U179" i="2"/>
  <c r="R180" i="2"/>
  <c r="S180" i="2"/>
  <c r="T180" i="2"/>
  <c r="U180" i="2"/>
  <c r="R181" i="2"/>
  <c r="T181" i="2"/>
  <c r="U181" i="2"/>
  <c r="R182" i="2"/>
  <c r="S182" i="2"/>
  <c r="T182" i="2"/>
  <c r="U182" i="2"/>
  <c r="R183" i="2"/>
  <c r="T183" i="2"/>
  <c r="U183" i="2"/>
  <c r="R184" i="2"/>
  <c r="T184" i="2"/>
  <c r="U184" i="2"/>
  <c r="R185" i="2"/>
  <c r="S185" i="2"/>
  <c r="T185" i="2"/>
  <c r="R186" i="2"/>
  <c r="T186" i="2"/>
  <c r="U186" i="2"/>
  <c r="R187" i="2"/>
  <c r="T187" i="2"/>
  <c r="U187" i="2"/>
  <c r="R188" i="2"/>
  <c r="S188" i="2"/>
  <c r="T188" i="2"/>
  <c r="R189" i="2"/>
  <c r="T189" i="2"/>
  <c r="U189" i="2"/>
  <c r="R190" i="2"/>
  <c r="T190" i="2"/>
  <c r="U190" i="2"/>
  <c r="U191" i="2"/>
  <c r="R192" i="2"/>
  <c r="T192" i="2"/>
  <c r="U192" i="2"/>
  <c r="R193" i="2"/>
  <c r="T193" i="2"/>
  <c r="U193" i="2"/>
  <c r="R194" i="2"/>
  <c r="T194" i="2"/>
  <c r="U194" i="2"/>
  <c r="R195" i="2"/>
  <c r="S195" i="2"/>
  <c r="T195" i="2"/>
  <c r="U195" i="2"/>
  <c r="R196" i="2"/>
  <c r="T196" i="2"/>
  <c r="U196" i="2"/>
  <c r="R197" i="2"/>
  <c r="T197" i="2"/>
  <c r="U197" i="2"/>
  <c r="R198" i="2"/>
  <c r="T198" i="2"/>
  <c r="U198" i="2"/>
  <c r="R199" i="2"/>
  <c r="T199" i="2"/>
  <c r="U199" i="2"/>
  <c r="R200" i="2"/>
  <c r="S200" i="2"/>
  <c r="T200" i="2"/>
  <c r="U200" i="2"/>
  <c r="R201" i="2"/>
  <c r="U201" i="2"/>
  <c r="R202" i="2"/>
  <c r="T202" i="2"/>
  <c r="U202" i="2"/>
  <c r="R203" i="2"/>
  <c r="T203" i="2"/>
  <c r="U203" i="2"/>
  <c r="R204" i="2"/>
  <c r="T204" i="2"/>
  <c r="U204" i="2"/>
  <c r="R94" i="2"/>
  <c r="S94" i="2"/>
  <c r="T94" i="2"/>
  <c r="U94" i="2"/>
  <c r="R93" i="2"/>
  <c r="S93" i="2"/>
  <c r="T93" i="2"/>
  <c r="U93" i="2"/>
  <c r="U92" i="2"/>
  <c r="T92" i="2"/>
  <c r="S92" i="2"/>
  <c r="R92" i="2"/>
  <c r="Q92" i="2"/>
  <c r="P92" i="2"/>
  <c r="O92" i="2"/>
  <c r="N92" i="2"/>
  <c r="M92" i="2"/>
  <c r="G92" i="2"/>
  <c r="H92" i="2"/>
  <c r="H54" i="2"/>
  <c r="AP204" i="2"/>
  <c r="AP203" i="2"/>
  <c r="AP202" i="2"/>
  <c r="AP201" i="2"/>
  <c r="AP200" i="2"/>
  <c r="AP199" i="2"/>
  <c r="AP198" i="2"/>
  <c r="AP197" i="2"/>
  <c r="AP196" i="2"/>
  <c r="AP195" i="2"/>
  <c r="AP194" i="2"/>
  <c r="AP193" i="2"/>
  <c r="AP192" i="2"/>
  <c r="AP191" i="2"/>
  <c r="AP190" i="2"/>
  <c r="AP189" i="2"/>
  <c r="AP188" i="2"/>
  <c r="AP187" i="2"/>
  <c r="AP186" i="2"/>
  <c r="AP185" i="2"/>
  <c r="AP184" i="2"/>
  <c r="AP183" i="2"/>
  <c r="AP182" i="2"/>
  <c r="AP181" i="2"/>
  <c r="AP180" i="2"/>
  <c r="AP179" i="2"/>
  <c r="AP178" i="2"/>
  <c r="AP177" i="2"/>
  <c r="AP176" i="2"/>
  <c r="AP175" i="2"/>
  <c r="AP174" i="2"/>
  <c r="AP173" i="2"/>
  <c r="AP172" i="2"/>
  <c r="AP171" i="2"/>
  <c r="AP170" i="2"/>
  <c r="AP169" i="2"/>
  <c r="AP168" i="2"/>
  <c r="AP167" i="2"/>
  <c r="AP166" i="2"/>
  <c r="AP165" i="2"/>
  <c r="AP164" i="2"/>
  <c r="AP163" i="2"/>
  <c r="AP162" i="2"/>
  <c r="AP161" i="2"/>
  <c r="AP160" i="2"/>
  <c r="AP159" i="2"/>
  <c r="AP158" i="2"/>
  <c r="AP157" i="2"/>
  <c r="AP156" i="2"/>
  <c r="AP155" i="2"/>
  <c r="AP154" i="2"/>
  <c r="AP153" i="2"/>
  <c r="AP152" i="2"/>
  <c r="AP151" i="2"/>
  <c r="AP150" i="2"/>
  <c r="AP149" i="2"/>
  <c r="AP148" i="2"/>
  <c r="AP147" i="2"/>
  <c r="AP145" i="2"/>
  <c r="AP144" i="2"/>
  <c r="AP143" i="2"/>
  <c r="AP142" i="2"/>
  <c r="AP141" i="2"/>
  <c r="AP140" i="2"/>
  <c r="AP139" i="2"/>
  <c r="AP138" i="2"/>
  <c r="AP137" i="2"/>
  <c r="AP136" i="2"/>
  <c r="AP135" i="2"/>
  <c r="AP134" i="2"/>
  <c r="AP133" i="2"/>
  <c r="AP132" i="2"/>
  <c r="AP131" i="2"/>
  <c r="AP130" i="2"/>
  <c r="AP129" i="2"/>
  <c r="AP128" i="2"/>
  <c r="AP127" i="2"/>
  <c r="AP126" i="2"/>
  <c r="AP125" i="2"/>
  <c r="AP124" i="2"/>
  <c r="AP120" i="2"/>
  <c r="AP117" i="2"/>
  <c r="AP116" i="2"/>
  <c r="AP115" i="2"/>
  <c r="AP114" i="2"/>
  <c r="AP113" i="2"/>
  <c r="AP112" i="2"/>
  <c r="AP111" i="2"/>
  <c r="AP110" i="2"/>
  <c r="AP109" i="2"/>
  <c r="AP108" i="2"/>
  <c r="AP107" i="2"/>
  <c r="AP106" i="2"/>
  <c r="AP105" i="2"/>
  <c r="AP104" i="2"/>
  <c r="AP103" i="2"/>
  <c r="AP102" i="2"/>
  <c r="AP101" i="2"/>
  <c r="AP100" i="2"/>
  <c r="AP99" i="2"/>
  <c r="AP98" i="2"/>
  <c r="AP97" i="2"/>
  <c r="AP96" i="2"/>
  <c r="AP95" i="2"/>
  <c r="AP94" i="2"/>
  <c r="AP93" i="2"/>
  <c r="AP92" i="2"/>
  <c r="AP91" i="2"/>
  <c r="U91" i="2"/>
  <c r="T91" i="2"/>
  <c r="S91" i="2"/>
  <c r="R91" i="2"/>
  <c r="Q91" i="2"/>
  <c r="P91" i="2"/>
  <c r="O91" i="2"/>
  <c r="N91" i="2"/>
  <c r="M91" i="2"/>
  <c r="G91" i="2"/>
  <c r="AP90" i="2"/>
  <c r="U90" i="2"/>
  <c r="T90" i="2"/>
  <c r="S90" i="2"/>
  <c r="R90" i="2"/>
  <c r="P90" i="2"/>
  <c r="O90" i="2"/>
  <c r="N90" i="2"/>
  <c r="M90" i="2"/>
  <c r="G90" i="2"/>
  <c r="AP89" i="2"/>
  <c r="U89" i="2"/>
  <c r="T89" i="2"/>
  <c r="S89" i="2"/>
  <c r="R89" i="2"/>
  <c r="P89" i="2"/>
  <c r="O89" i="2"/>
  <c r="N89" i="2"/>
  <c r="M89" i="2"/>
  <c r="G89" i="2"/>
  <c r="AP88" i="2"/>
  <c r="U88" i="2"/>
  <c r="T88" i="2"/>
  <c r="S88" i="2"/>
  <c r="R88" i="2"/>
  <c r="Q88" i="2"/>
  <c r="P88" i="2"/>
  <c r="O88" i="2"/>
  <c r="N88" i="2"/>
  <c r="M88" i="2"/>
  <c r="G88" i="2"/>
  <c r="AP87" i="2"/>
  <c r="U87" i="2"/>
  <c r="T87" i="2"/>
  <c r="S87" i="2"/>
  <c r="R87" i="2"/>
  <c r="Q87" i="2"/>
  <c r="P87" i="2"/>
  <c r="O87" i="2"/>
  <c r="N87" i="2"/>
  <c r="M87" i="2"/>
  <c r="G87" i="2"/>
  <c r="AP86" i="2"/>
  <c r="U86" i="2"/>
  <c r="T86" i="2"/>
  <c r="S86" i="2"/>
  <c r="R86" i="2"/>
  <c r="Q86" i="2"/>
  <c r="P86" i="2"/>
  <c r="O86" i="2"/>
  <c r="N86" i="2"/>
  <c r="M86" i="2"/>
  <c r="G86" i="2"/>
  <c r="AP85" i="2"/>
  <c r="U85" i="2"/>
  <c r="T85" i="2"/>
  <c r="S85" i="2"/>
  <c r="R85" i="2"/>
  <c r="Q85" i="2"/>
  <c r="P85" i="2"/>
  <c r="O85" i="2"/>
  <c r="N85" i="2"/>
  <c r="M85" i="2"/>
  <c r="G85" i="2"/>
  <c r="AP84" i="2"/>
  <c r="U84" i="2"/>
  <c r="T84" i="2"/>
  <c r="S84" i="2"/>
  <c r="R84" i="2"/>
  <c r="Q84" i="2"/>
  <c r="P84" i="2"/>
  <c r="O84" i="2"/>
  <c r="N84" i="2"/>
  <c r="M84" i="2"/>
  <c r="H84" i="2"/>
  <c r="G84" i="2"/>
  <c r="AP83" i="2"/>
  <c r="U83" i="2"/>
  <c r="T83" i="2"/>
  <c r="S83" i="2"/>
  <c r="R83" i="2"/>
  <c r="Q83" i="2"/>
  <c r="P83" i="2"/>
  <c r="O83" i="2"/>
  <c r="N83" i="2"/>
  <c r="M83" i="2"/>
  <c r="G83" i="2"/>
  <c r="AP82" i="2"/>
  <c r="U82" i="2"/>
  <c r="T82" i="2"/>
  <c r="S82" i="2"/>
  <c r="R82" i="2"/>
  <c r="Q82" i="2"/>
  <c r="P82" i="2"/>
  <c r="O82" i="2"/>
  <c r="N82" i="2"/>
  <c r="M82" i="2"/>
  <c r="H82" i="2"/>
  <c r="G82" i="2"/>
  <c r="AP81" i="2"/>
  <c r="U81" i="2"/>
  <c r="T81" i="2"/>
  <c r="S81" i="2"/>
  <c r="R81" i="2"/>
  <c r="Q81" i="2"/>
  <c r="P81" i="2"/>
  <c r="O81" i="2"/>
  <c r="N81" i="2"/>
  <c r="M81" i="2"/>
  <c r="H81" i="2"/>
  <c r="AP80" i="2"/>
  <c r="U80" i="2"/>
  <c r="T80" i="2"/>
  <c r="S80" i="2"/>
  <c r="R80" i="2"/>
  <c r="Q80" i="2"/>
  <c r="P80" i="2"/>
  <c r="O80" i="2"/>
  <c r="N80" i="2"/>
  <c r="M80" i="2"/>
  <c r="H80" i="2"/>
  <c r="AP79" i="2"/>
  <c r="U79" i="2"/>
  <c r="T79" i="2"/>
  <c r="S79" i="2"/>
  <c r="R79" i="2"/>
  <c r="Q79" i="2"/>
  <c r="P79" i="2"/>
  <c r="O79" i="2"/>
  <c r="N79" i="2"/>
  <c r="M79" i="2"/>
  <c r="H79" i="2"/>
  <c r="AP78" i="2"/>
  <c r="U78" i="2"/>
  <c r="T78" i="2"/>
  <c r="S78" i="2"/>
  <c r="R78" i="2"/>
  <c r="Q78" i="2"/>
  <c r="P78" i="2"/>
  <c r="O78" i="2"/>
  <c r="N78" i="2"/>
  <c r="M78" i="2"/>
  <c r="H78" i="2"/>
  <c r="AP77" i="2"/>
  <c r="U77" i="2"/>
  <c r="T77" i="2"/>
  <c r="S77" i="2"/>
  <c r="R77" i="2"/>
  <c r="Q77" i="2"/>
  <c r="P77" i="2"/>
  <c r="O77" i="2"/>
  <c r="N77" i="2"/>
  <c r="M77" i="2"/>
  <c r="H77" i="2"/>
  <c r="AP76" i="2"/>
  <c r="U76" i="2"/>
  <c r="T76" i="2"/>
  <c r="S76" i="2"/>
  <c r="R76" i="2"/>
  <c r="Q76" i="2"/>
  <c r="P76" i="2"/>
  <c r="O76" i="2"/>
  <c r="N76" i="2"/>
  <c r="M76" i="2"/>
  <c r="H76" i="2"/>
  <c r="AP75" i="2"/>
  <c r="U75" i="2"/>
  <c r="T75" i="2"/>
  <c r="S75" i="2"/>
  <c r="R75" i="2"/>
  <c r="Q75" i="2"/>
  <c r="P75" i="2"/>
  <c r="O75" i="2"/>
  <c r="N75" i="2"/>
  <c r="M75" i="2"/>
  <c r="H75" i="2"/>
  <c r="AP74" i="2"/>
  <c r="U74" i="2"/>
  <c r="T74" i="2"/>
  <c r="S74" i="2"/>
  <c r="R74" i="2"/>
  <c r="Q74" i="2"/>
  <c r="P74" i="2"/>
  <c r="O74" i="2"/>
  <c r="N74" i="2"/>
  <c r="M74" i="2"/>
  <c r="H74" i="2"/>
  <c r="AP73" i="2"/>
  <c r="U73" i="2"/>
  <c r="T73" i="2"/>
  <c r="S73" i="2"/>
  <c r="R73" i="2"/>
  <c r="Q73" i="2"/>
  <c r="P73" i="2"/>
  <c r="O73" i="2"/>
  <c r="N73" i="2"/>
  <c r="M73" i="2"/>
  <c r="H73" i="2"/>
  <c r="AP72" i="2"/>
  <c r="U72" i="2"/>
  <c r="T72" i="2"/>
  <c r="S72" i="2"/>
  <c r="R72" i="2"/>
  <c r="Q72" i="2"/>
  <c r="P72" i="2"/>
  <c r="O72" i="2"/>
  <c r="N72" i="2"/>
  <c r="M72" i="2"/>
  <c r="H72" i="2"/>
  <c r="AP71" i="2"/>
  <c r="U71" i="2"/>
  <c r="T71" i="2"/>
  <c r="S71" i="2"/>
  <c r="R71" i="2"/>
  <c r="Q71" i="2"/>
  <c r="P71" i="2"/>
  <c r="O71" i="2"/>
  <c r="N71" i="2"/>
  <c r="M71" i="2"/>
  <c r="H71" i="2"/>
  <c r="G71" i="2"/>
  <c r="AP70" i="2"/>
  <c r="U70" i="2"/>
  <c r="T70" i="2"/>
  <c r="S70" i="2"/>
  <c r="R70" i="2"/>
  <c r="Q70" i="2"/>
  <c r="P70" i="2"/>
  <c r="O70" i="2"/>
  <c r="N70" i="2"/>
  <c r="M70" i="2"/>
  <c r="H70" i="2"/>
  <c r="G70" i="2"/>
  <c r="AO69" i="2"/>
  <c r="AP69" i="2" s="1"/>
  <c r="U69" i="2"/>
  <c r="T69" i="2"/>
  <c r="S69" i="2"/>
  <c r="R69" i="2"/>
  <c r="Q69" i="2"/>
  <c r="P69" i="2"/>
  <c r="O69" i="2"/>
  <c r="N69" i="2"/>
  <c r="M69" i="2"/>
  <c r="H69" i="2"/>
  <c r="G69" i="2"/>
  <c r="AP68" i="2"/>
  <c r="U68" i="2"/>
  <c r="T68" i="2"/>
  <c r="S68" i="2"/>
  <c r="R68" i="2"/>
  <c r="Q68" i="2"/>
  <c r="P68" i="2"/>
  <c r="O68" i="2"/>
  <c r="N68" i="2"/>
  <c r="M68" i="2"/>
  <c r="H68" i="2"/>
  <c r="G68" i="2"/>
  <c r="AP67" i="2"/>
  <c r="U67" i="2"/>
  <c r="T67" i="2"/>
  <c r="S67" i="2"/>
  <c r="R67" i="2"/>
  <c r="Q67" i="2"/>
  <c r="P67" i="2"/>
  <c r="O67" i="2"/>
  <c r="N67" i="2"/>
  <c r="M67" i="2"/>
  <c r="H67" i="2"/>
  <c r="G67" i="2"/>
  <c r="AP66" i="2"/>
  <c r="U66" i="2"/>
  <c r="T66" i="2"/>
  <c r="S66" i="2"/>
  <c r="R66" i="2"/>
  <c r="Q66" i="2"/>
  <c r="P66" i="2"/>
  <c r="O66" i="2"/>
  <c r="N66" i="2"/>
  <c r="M66" i="2"/>
  <c r="H66" i="2"/>
  <c r="G66" i="2"/>
  <c r="AP65" i="2"/>
  <c r="U65" i="2"/>
  <c r="T65" i="2"/>
  <c r="S65" i="2"/>
  <c r="R65" i="2"/>
  <c r="Q65" i="2"/>
  <c r="P65" i="2"/>
  <c r="O65" i="2"/>
  <c r="N65" i="2"/>
  <c r="M65" i="2"/>
  <c r="H65" i="2"/>
  <c r="G65" i="2"/>
  <c r="AP64" i="2"/>
  <c r="U64" i="2"/>
  <c r="T64" i="2"/>
  <c r="S64" i="2"/>
  <c r="R64" i="2"/>
  <c r="Q64" i="2"/>
  <c r="P64" i="2"/>
  <c r="O64" i="2"/>
  <c r="N64" i="2"/>
  <c r="M64" i="2"/>
  <c r="G64" i="2"/>
  <c r="AP63" i="2"/>
  <c r="U63" i="2"/>
  <c r="T63" i="2"/>
  <c r="S63" i="2"/>
  <c r="R63" i="2"/>
  <c r="Q63" i="2"/>
  <c r="P63" i="2"/>
  <c r="O63" i="2"/>
  <c r="N63" i="2"/>
  <c r="M63" i="2"/>
  <c r="H63" i="2"/>
  <c r="G63" i="2"/>
  <c r="AP62" i="2"/>
  <c r="U62" i="2"/>
  <c r="S62" i="2"/>
  <c r="R62" i="2"/>
  <c r="Q62" i="2"/>
  <c r="P62" i="2"/>
  <c r="O62" i="2"/>
  <c r="N62" i="2"/>
  <c r="M62" i="2"/>
  <c r="G62" i="2"/>
  <c r="AO61" i="2"/>
  <c r="AP61" i="2" s="1"/>
  <c r="U61" i="2"/>
  <c r="T61" i="2"/>
  <c r="S61" i="2"/>
  <c r="R61" i="2"/>
  <c r="Q61" i="2"/>
  <c r="P61" i="2"/>
  <c r="O61" i="2"/>
  <c r="N61" i="2"/>
  <c r="M61" i="2"/>
  <c r="H61" i="2"/>
  <c r="G61" i="2"/>
  <c r="AO60" i="2"/>
  <c r="AP60" i="2" s="1"/>
  <c r="U60" i="2"/>
  <c r="S60" i="2"/>
  <c r="R60" i="2"/>
  <c r="Q60" i="2"/>
  <c r="P60" i="2"/>
  <c r="O60" i="2"/>
  <c r="N60" i="2"/>
  <c r="M60" i="2"/>
  <c r="G60" i="2"/>
  <c r="AO59" i="2"/>
  <c r="AP59" i="2" s="1"/>
  <c r="U59" i="2"/>
  <c r="T59" i="2"/>
  <c r="S59" i="2"/>
  <c r="R59" i="2"/>
  <c r="Q59" i="2"/>
  <c r="P59" i="2"/>
  <c r="O59" i="2"/>
  <c r="N59" i="2"/>
  <c r="M59" i="2"/>
  <c r="H59" i="2"/>
  <c r="G59" i="2"/>
  <c r="AO58" i="2"/>
  <c r="AP58" i="2" s="1"/>
  <c r="U58" i="2"/>
  <c r="T58" i="2"/>
  <c r="S58" i="2"/>
  <c r="R58" i="2"/>
  <c r="Q58" i="2"/>
  <c r="P58" i="2"/>
  <c r="O58" i="2"/>
  <c r="N58" i="2"/>
  <c r="M58" i="2"/>
  <c r="H58" i="2"/>
  <c r="G58" i="2"/>
  <c r="AO57" i="2"/>
  <c r="AP57" i="2" s="1"/>
  <c r="U57" i="2"/>
  <c r="T57" i="2"/>
  <c r="S57" i="2"/>
  <c r="R57" i="2"/>
  <c r="Q57" i="2"/>
  <c r="P57" i="2"/>
  <c r="O57" i="2"/>
  <c r="N57" i="2"/>
  <c r="M57" i="2"/>
  <c r="H57" i="2"/>
  <c r="G57" i="2"/>
  <c r="AO56" i="2"/>
  <c r="AP56" i="2" s="1"/>
  <c r="U56" i="2"/>
  <c r="T56" i="2"/>
  <c r="S56" i="2"/>
  <c r="R56" i="2"/>
  <c r="Q56" i="2"/>
  <c r="O56" i="2"/>
  <c r="N56" i="2"/>
  <c r="M56" i="2"/>
  <c r="H56" i="2"/>
  <c r="G56" i="2"/>
  <c r="AO55" i="2"/>
  <c r="AP55" i="2" s="1"/>
  <c r="T55" i="2"/>
  <c r="S55" i="2"/>
  <c r="R55" i="2"/>
  <c r="Q55" i="2"/>
  <c r="H55" i="2"/>
  <c r="G55" i="2"/>
  <c r="AO54" i="2"/>
  <c r="AP54" i="2" s="1"/>
  <c r="T54" i="2"/>
  <c r="S54" i="2"/>
  <c r="R54" i="2"/>
  <c r="G54" i="2"/>
  <c r="AO53" i="2"/>
  <c r="AP53" i="2" s="1"/>
  <c r="U53" i="2"/>
  <c r="T53" i="2"/>
  <c r="S53" i="2"/>
  <c r="R53" i="2"/>
  <c r="Q53" i="2"/>
  <c r="P53" i="2"/>
  <c r="O53" i="2"/>
  <c r="N53" i="2"/>
  <c r="M53" i="2"/>
  <c r="H53" i="2"/>
  <c r="G53" i="2"/>
  <c r="AO52" i="2"/>
  <c r="AP52" i="2" s="1"/>
  <c r="U52" i="2"/>
  <c r="T52" i="2"/>
  <c r="S52" i="2"/>
  <c r="R52" i="2"/>
  <c r="Q52" i="2"/>
  <c r="P52" i="2"/>
  <c r="O52" i="2"/>
  <c r="N52" i="2"/>
  <c r="M52" i="2"/>
  <c r="H52" i="2"/>
  <c r="G52" i="2"/>
  <c r="AO51" i="2"/>
  <c r="AP51" i="2" s="1"/>
  <c r="U51" i="2"/>
  <c r="T51" i="2"/>
  <c r="S51" i="2"/>
  <c r="R51" i="2"/>
  <c r="Q51" i="2"/>
  <c r="P51" i="2"/>
  <c r="O51" i="2"/>
  <c r="N51" i="2"/>
  <c r="M51" i="2"/>
  <c r="H51" i="2"/>
  <c r="G51" i="2"/>
  <c r="AO50" i="2"/>
  <c r="AP50" i="2" s="1"/>
  <c r="U50" i="2"/>
  <c r="S50" i="2"/>
  <c r="R50" i="2"/>
  <c r="Q50" i="2"/>
  <c r="P50" i="2"/>
  <c r="O50" i="2"/>
  <c r="N50" i="2"/>
  <c r="M50" i="2"/>
  <c r="G50" i="2"/>
  <c r="AO49" i="2"/>
  <c r="AP49" i="2" s="1"/>
  <c r="U49" i="2"/>
  <c r="T49" i="2"/>
  <c r="S49" i="2"/>
  <c r="R49" i="2"/>
  <c r="Q49" i="2"/>
  <c r="P49" i="2"/>
  <c r="O49" i="2"/>
  <c r="N49" i="2"/>
  <c r="M49" i="2"/>
  <c r="H49" i="2"/>
  <c r="G49" i="2"/>
  <c r="AO48" i="2"/>
  <c r="AP48" i="2" s="1"/>
  <c r="U48" i="2"/>
  <c r="T48" i="2"/>
  <c r="S48" i="2"/>
  <c r="R48" i="2"/>
  <c r="Q48" i="2"/>
  <c r="P48" i="2"/>
  <c r="O48" i="2"/>
  <c r="N48" i="2"/>
  <c r="M48" i="2"/>
  <c r="H48" i="2"/>
  <c r="G48" i="2"/>
  <c r="AO47" i="2"/>
  <c r="AP47" i="2" s="1"/>
  <c r="U47" i="2"/>
  <c r="R47" i="2"/>
  <c r="Q47" i="2"/>
  <c r="P47" i="2"/>
  <c r="O47" i="2"/>
  <c r="N47" i="2"/>
  <c r="M47" i="2"/>
  <c r="H47" i="2"/>
  <c r="G47" i="2"/>
  <c r="AO46" i="2"/>
  <c r="AP46" i="2" s="1"/>
  <c r="U46" i="2"/>
  <c r="T46" i="2"/>
  <c r="S46" i="2"/>
  <c r="R46" i="2"/>
  <c r="Q46" i="2"/>
  <c r="P46" i="2"/>
  <c r="O46" i="2"/>
  <c r="N46" i="2"/>
  <c r="M46" i="2"/>
  <c r="H46" i="2"/>
  <c r="AO45" i="2"/>
  <c r="AP45" i="2" s="1"/>
  <c r="U45" i="2"/>
  <c r="T45" i="2"/>
  <c r="S45" i="2"/>
  <c r="R45" i="2"/>
  <c r="Q45" i="2"/>
  <c r="P45" i="2"/>
  <c r="O45" i="2"/>
  <c r="N45" i="2"/>
  <c r="M45" i="2"/>
  <c r="H45" i="2"/>
  <c r="AO44" i="2"/>
  <c r="AP44" i="2" s="1"/>
  <c r="U44" i="2"/>
  <c r="R44" i="2"/>
  <c r="Q44" i="2"/>
  <c r="P44" i="2"/>
  <c r="O44" i="2"/>
  <c r="N44" i="2"/>
  <c r="M44" i="2"/>
  <c r="H44" i="2"/>
  <c r="AO43" i="2"/>
  <c r="AP43" i="2" s="1"/>
  <c r="U43" i="2"/>
  <c r="T43" i="2"/>
  <c r="S43" i="2"/>
  <c r="R43" i="2"/>
  <c r="Q43" i="2"/>
  <c r="P43" i="2"/>
  <c r="O43" i="2"/>
  <c r="N43" i="2"/>
  <c r="M43" i="2"/>
  <c r="H43" i="2"/>
  <c r="AO42" i="2"/>
  <c r="AP42" i="2" s="1"/>
  <c r="U42" i="2"/>
  <c r="T42" i="2"/>
  <c r="S42" i="2"/>
  <c r="R42" i="2"/>
  <c r="Q42" i="2"/>
  <c r="P42" i="2"/>
  <c r="O42" i="2"/>
  <c r="N42" i="2"/>
  <c r="M42" i="2"/>
  <c r="H42" i="2"/>
  <c r="AO41" i="2"/>
  <c r="AP41" i="2" s="1"/>
  <c r="U41" i="2"/>
  <c r="S41" i="2"/>
  <c r="R41" i="2"/>
  <c r="Q41" i="2"/>
  <c r="P41" i="2"/>
  <c r="O41" i="2"/>
  <c r="N41" i="2"/>
  <c r="M41" i="2"/>
  <c r="AO40" i="2"/>
  <c r="AP40" i="2" s="1"/>
  <c r="U40" i="2"/>
  <c r="T40" i="2"/>
  <c r="R40" i="2"/>
  <c r="Q40" i="2"/>
  <c r="P40" i="2"/>
  <c r="O40" i="2"/>
  <c r="N40" i="2"/>
  <c r="M40" i="2"/>
  <c r="H40" i="2"/>
  <c r="AO39" i="2"/>
  <c r="AP39" i="2" s="1"/>
  <c r="U39" i="2"/>
  <c r="T39" i="2"/>
  <c r="S39" i="2"/>
  <c r="R39" i="2"/>
  <c r="H39" i="2"/>
  <c r="G39" i="2"/>
  <c r="AO38" i="2"/>
  <c r="AP38" i="2" s="1"/>
  <c r="U38" i="2"/>
  <c r="R38" i="2"/>
  <c r="Q38" i="2"/>
  <c r="P38" i="2"/>
  <c r="O38" i="2"/>
  <c r="N38" i="2"/>
  <c r="M38" i="2"/>
  <c r="H38" i="2"/>
  <c r="AO37" i="2"/>
  <c r="AP37" i="2" s="1"/>
  <c r="U37" i="2"/>
  <c r="R37" i="2"/>
  <c r="Q37" i="2"/>
  <c r="P37" i="2"/>
  <c r="O37" i="2"/>
  <c r="N37" i="2"/>
  <c r="M37" i="2"/>
  <c r="H37" i="2"/>
  <c r="AO36" i="2"/>
  <c r="AP36" i="2" s="1"/>
  <c r="U36" i="2"/>
  <c r="R36" i="2"/>
  <c r="Q36" i="2"/>
  <c r="P36" i="2"/>
  <c r="O36" i="2"/>
  <c r="N36" i="2"/>
  <c r="M36" i="2"/>
  <c r="H36" i="2"/>
  <c r="AO35" i="2"/>
  <c r="AP35" i="2" s="1"/>
  <c r="U35" i="2"/>
  <c r="T35" i="2"/>
  <c r="S35" i="2"/>
  <c r="R35" i="2"/>
  <c r="Q35" i="2"/>
  <c r="P35" i="2"/>
  <c r="O35" i="2"/>
  <c r="N35" i="2"/>
  <c r="M35" i="2"/>
  <c r="H35" i="2"/>
  <c r="AO34" i="2"/>
  <c r="AP34" i="2" s="1"/>
  <c r="U34" i="2"/>
  <c r="T34" i="2"/>
  <c r="S34" i="2"/>
  <c r="R34" i="2"/>
  <c r="Q34" i="2"/>
  <c r="P34" i="2"/>
  <c r="O34" i="2"/>
  <c r="N34" i="2"/>
  <c r="M34" i="2"/>
  <c r="H34" i="2"/>
  <c r="AO33" i="2"/>
  <c r="AP33" i="2" s="1"/>
  <c r="U33" i="2"/>
  <c r="T33" i="2"/>
  <c r="S33" i="2"/>
  <c r="R33" i="2"/>
  <c r="Q33" i="2"/>
  <c r="P33" i="2"/>
  <c r="O33" i="2"/>
  <c r="N33" i="2"/>
  <c r="M33" i="2"/>
  <c r="H33" i="2"/>
  <c r="AO32" i="2"/>
  <c r="AP32" i="2" s="1"/>
  <c r="U32" i="2"/>
  <c r="T32" i="2"/>
  <c r="S32" i="2"/>
  <c r="R32" i="2"/>
  <c r="Q32" i="2"/>
  <c r="P32" i="2"/>
  <c r="O32" i="2"/>
  <c r="N32" i="2"/>
  <c r="M32" i="2"/>
  <c r="H32" i="2"/>
  <c r="AO31" i="2"/>
  <c r="AP31" i="2" s="1"/>
  <c r="U31" i="2"/>
  <c r="T31" i="2"/>
  <c r="S31" i="2"/>
  <c r="R31" i="2"/>
  <c r="Q31" i="2"/>
  <c r="P31" i="2"/>
  <c r="O31" i="2"/>
  <c r="N31" i="2"/>
  <c r="M31" i="2"/>
  <c r="H31" i="2"/>
  <c r="AO30" i="2"/>
  <c r="AP30" i="2" s="1"/>
  <c r="U30" i="2"/>
  <c r="T30" i="2"/>
  <c r="S30" i="2"/>
  <c r="R30" i="2"/>
  <c r="Q30" i="2"/>
  <c r="P30" i="2"/>
  <c r="O30" i="2"/>
  <c r="N30" i="2"/>
  <c r="M30" i="2"/>
  <c r="H30" i="2"/>
  <c r="G30" i="2"/>
  <c r="AO29" i="2"/>
  <c r="AP29" i="2" s="1"/>
  <c r="U29" i="2"/>
  <c r="T29" i="2"/>
  <c r="S29" i="2"/>
  <c r="R29" i="2"/>
  <c r="Q29" i="2"/>
  <c r="P29" i="2"/>
  <c r="O29" i="2"/>
  <c r="N29" i="2"/>
  <c r="M29" i="2"/>
  <c r="H29" i="2"/>
  <c r="G29" i="2"/>
  <c r="AO28" i="2"/>
  <c r="AP28" i="2" s="1"/>
  <c r="U28" i="2"/>
  <c r="T28" i="2"/>
  <c r="S28" i="2"/>
  <c r="R28" i="2"/>
  <c r="Q28" i="2"/>
  <c r="P28" i="2"/>
  <c r="O28" i="2"/>
  <c r="N28" i="2"/>
  <c r="M28" i="2"/>
  <c r="H28" i="2"/>
  <c r="G28" i="2"/>
  <c r="AO27" i="2"/>
  <c r="AP27" i="2" s="1"/>
  <c r="U27" i="2"/>
  <c r="T27" i="2"/>
  <c r="S27" i="2"/>
  <c r="R27" i="2"/>
  <c r="Q27" i="2"/>
  <c r="P27" i="2"/>
  <c r="O27" i="2"/>
  <c r="N27" i="2"/>
  <c r="M27" i="2"/>
  <c r="H27" i="2"/>
  <c r="G27" i="2"/>
  <c r="AO26" i="2"/>
  <c r="AP26" i="2" s="1"/>
  <c r="U26" i="2"/>
  <c r="T26" i="2"/>
  <c r="S26" i="2"/>
  <c r="R26" i="2"/>
  <c r="Q26" i="2"/>
  <c r="P26" i="2"/>
  <c r="O26" i="2"/>
  <c r="N26" i="2"/>
  <c r="M26" i="2"/>
  <c r="H26" i="2"/>
  <c r="G26" i="2"/>
  <c r="AO25" i="2"/>
  <c r="AP25" i="2" s="1"/>
  <c r="U25" i="2"/>
  <c r="S25" i="2"/>
  <c r="R25" i="2"/>
  <c r="Q25" i="2"/>
  <c r="P25" i="2"/>
  <c r="O25" i="2"/>
  <c r="N25" i="2"/>
  <c r="M25" i="2"/>
  <c r="H25" i="2"/>
  <c r="G25" i="2"/>
  <c r="AO24" i="2"/>
  <c r="AP24" i="2" s="1"/>
  <c r="U24" i="2"/>
  <c r="T24" i="2"/>
  <c r="S24" i="2"/>
  <c r="R24" i="2"/>
  <c r="H24" i="2"/>
  <c r="G24" i="2"/>
  <c r="AO23" i="2"/>
  <c r="AP23" i="2" s="1"/>
  <c r="U23" i="2"/>
  <c r="T23" i="2"/>
  <c r="S23" i="2"/>
  <c r="R23" i="2"/>
  <c r="Q23" i="2"/>
  <c r="P23" i="2"/>
  <c r="O23" i="2"/>
  <c r="N23" i="2"/>
  <c r="M23" i="2"/>
  <c r="H23" i="2"/>
  <c r="G23" i="2"/>
  <c r="AO22" i="2"/>
  <c r="AP22" i="2" s="1"/>
  <c r="U22" i="2"/>
  <c r="T22" i="2"/>
  <c r="S22" i="2"/>
  <c r="R22" i="2"/>
  <c r="Q22" i="2"/>
  <c r="P22" i="2"/>
  <c r="O22" i="2"/>
  <c r="N22" i="2"/>
  <c r="M22" i="2"/>
  <c r="H22" i="2"/>
  <c r="G22" i="2"/>
  <c r="AO21" i="2"/>
  <c r="AP21" i="2" s="1"/>
  <c r="U21" i="2"/>
  <c r="T21" i="2"/>
  <c r="S21" i="2"/>
  <c r="R21" i="2"/>
  <c r="Q21" i="2"/>
  <c r="P21" i="2"/>
  <c r="O21" i="2"/>
  <c r="N21" i="2"/>
  <c r="M21" i="2"/>
  <c r="H21" i="2"/>
  <c r="G21" i="2"/>
  <c r="AO20" i="2"/>
  <c r="AP20" i="2" s="1"/>
  <c r="U20" i="2"/>
  <c r="T20" i="2"/>
  <c r="S20" i="2"/>
  <c r="R20" i="2"/>
  <c r="Q20" i="2"/>
  <c r="P20" i="2"/>
  <c r="O20" i="2"/>
  <c r="N20" i="2"/>
  <c r="M20" i="2"/>
  <c r="H20" i="2"/>
  <c r="G20" i="2"/>
  <c r="AO19" i="2"/>
  <c r="AP19" i="2" s="1"/>
  <c r="U19" i="2"/>
  <c r="T19" i="2"/>
  <c r="S19" i="2"/>
  <c r="R19" i="2"/>
  <c r="Q19" i="2"/>
  <c r="P19" i="2"/>
  <c r="O19" i="2"/>
  <c r="N19" i="2"/>
  <c r="M19" i="2"/>
  <c r="H19" i="2"/>
  <c r="G19" i="2"/>
  <c r="AO18" i="2"/>
  <c r="AP18" i="2" s="1"/>
  <c r="U18" i="2"/>
  <c r="T18" i="2"/>
  <c r="S18" i="2"/>
  <c r="R18" i="2"/>
  <c r="Q18" i="2"/>
  <c r="P18" i="2"/>
  <c r="O18" i="2"/>
  <c r="N18" i="2"/>
  <c r="M18" i="2"/>
  <c r="H18" i="2"/>
  <c r="G18" i="2"/>
  <c r="G29" i="52" l="1"/>
  <c r="T26" i="52"/>
  <c r="V26" i="52"/>
  <c r="V36" i="52" s="1"/>
  <c r="AH37" i="38"/>
  <c r="AJ17" i="38"/>
  <c r="AC34" i="38"/>
  <c r="AB33" i="38"/>
  <c r="AI40" i="38"/>
  <c r="AE30" i="38"/>
  <c r="AB30" i="38"/>
  <c r="AB28" i="38"/>
  <c r="AB39" i="38"/>
  <c r="L42" i="38"/>
  <c r="J29" i="38"/>
  <c r="S26" i="38" s="1"/>
  <c r="L41" i="38"/>
  <c r="P29" i="38"/>
  <c r="P34" i="38" s="1"/>
  <c r="K29" i="38"/>
  <c r="K38" i="38" s="1"/>
  <c r="P7" i="38"/>
  <c r="L44" i="38"/>
  <c r="M43" i="38"/>
  <c r="P6" i="38"/>
  <c r="D29" i="48"/>
  <c r="AI41" i="38"/>
  <c r="B51" i="38"/>
  <c r="AC51" i="38"/>
  <c r="K27" i="38"/>
  <c r="O31" i="38"/>
  <c r="V44" i="38"/>
  <c r="F31" i="38"/>
  <c r="B27" i="38"/>
  <c r="M46" i="38"/>
  <c r="AI37" i="38"/>
  <c r="C29" i="38"/>
  <c r="C38" i="38" s="1"/>
  <c r="L29" i="38"/>
  <c r="L38" i="38" s="1"/>
  <c r="D46" i="38"/>
  <c r="C46" i="52"/>
  <c r="B29" i="52"/>
  <c r="AH37" i="52"/>
  <c r="AB51" i="52"/>
  <c r="L46" i="52"/>
  <c r="K29" i="52"/>
  <c r="D29" i="52"/>
  <c r="AH36" i="52"/>
  <c r="M29" i="52"/>
  <c r="E32" i="52"/>
  <c r="N32" i="52"/>
  <c r="D29" i="38"/>
  <c r="M29" i="38"/>
  <c r="AH36" i="38"/>
  <c r="AI41" i="52"/>
  <c r="B51" i="52"/>
  <c r="B50" i="52"/>
  <c r="AI40" i="52"/>
  <c r="C29" i="40"/>
  <c r="C43" i="40" s="1"/>
  <c r="D51" i="40"/>
  <c r="B27" i="40"/>
  <c r="F31" i="40"/>
  <c r="K27" i="40"/>
  <c r="V44" i="40"/>
  <c r="M51" i="40"/>
  <c r="G29" i="48"/>
  <c r="M46" i="52"/>
  <c r="F31" i="52"/>
  <c r="K27" i="52"/>
  <c r="B27" i="52"/>
  <c r="D46" i="52"/>
  <c r="V44" i="52"/>
  <c r="C29" i="52"/>
  <c r="C38" i="52" s="1"/>
  <c r="AC51" i="52"/>
  <c r="O31" i="52"/>
  <c r="L29" i="52"/>
  <c r="L38" i="52" s="1"/>
  <c r="V25" i="52"/>
  <c r="AI37" i="52"/>
  <c r="E32" i="38"/>
  <c r="E29" i="38" s="1"/>
  <c r="E38" i="38" s="1"/>
  <c r="N32" i="38"/>
  <c r="B50" i="48"/>
  <c r="F32" i="38"/>
  <c r="F29" i="38" s="1"/>
  <c r="F38" i="38" s="1"/>
  <c r="O32" i="38"/>
  <c r="B51" i="48"/>
  <c r="F32" i="52"/>
  <c r="O32" i="52"/>
  <c r="E32" i="48"/>
  <c r="B56" i="40"/>
  <c r="F32" i="48"/>
  <c r="U44" i="52"/>
  <c r="M48" i="40"/>
  <c r="P6" i="40"/>
  <c r="L47" i="40"/>
  <c r="L46" i="40"/>
  <c r="P29" i="40"/>
  <c r="O31" i="40"/>
  <c r="O32" i="40"/>
  <c r="N32" i="40"/>
  <c r="V25" i="40"/>
  <c r="L29" i="40"/>
  <c r="L43" i="40" s="1"/>
  <c r="K29" i="40"/>
  <c r="K43" i="40" s="1"/>
  <c r="L51" i="40" s="1"/>
  <c r="P7" i="40"/>
  <c r="J29" i="40"/>
  <c r="S26" i="40" s="1"/>
  <c r="L49" i="40"/>
  <c r="AC51" i="40"/>
  <c r="AI41" i="40"/>
  <c r="AI40" i="40"/>
  <c r="AI37" i="40"/>
  <c r="AH37" i="40"/>
  <c r="AH36" i="40"/>
  <c r="AC34" i="40"/>
  <c r="AB33" i="40"/>
  <c r="AE30" i="40"/>
  <c r="AJ17" i="40"/>
  <c r="AB30" i="40"/>
  <c r="AB28" i="40"/>
  <c r="C46" i="48"/>
  <c r="B29" i="48"/>
  <c r="B38" i="48" s="1"/>
  <c r="F31" i="48"/>
  <c r="V44" i="48"/>
  <c r="M46" i="48"/>
  <c r="K27" i="48"/>
  <c r="C29" i="48"/>
  <c r="C38" i="48" s="1"/>
  <c r="D46" i="48"/>
  <c r="B27" i="48"/>
  <c r="AC34" i="48"/>
  <c r="AB33" i="48"/>
  <c r="AE30" i="48"/>
  <c r="AB30" i="48"/>
  <c r="AC51" i="48"/>
  <c r="AB28" i="48"/>
  <c r="AB51" i="48"/>
  <c r="AJ17" i="48"/>
  <c r="AI41" i="48"/>
  <c r="AI40" i="48"/>
  <c r="AB39" i="48"/>
  <c r="AI37" i="48"/>
  <c r="AH37" i="48"/>
  <c r="AH36" i="48"/>
  <c r="L41" i="48"/>
  <c r="P29" i="48"/>
  <c r="O32" i="48"/>
  <c r="V25" i="48"/>
  <c r="N32" i="48"/>
  <c r="M29" i="48"/>
  <c r="L29" i="48"/>
  <c r="L38" i="48" s="1"/>
  <c r="O31" i="48"/>
  <c r="K29" i="48"/>
  <c r="K38" i="48" s="1"/>
  <c r="J29" i="48"/>
  <c r="S26" i="48" s="1"/>
  <c r="L46" i="48"/>
  <c r="L44" i="48"/>
  <c r="P7" i="48"/>
  <c r="M43" i="48"/>
  <c r="P6" i="48"/>
  <c r="L42" i="48"/>
  <c r="B10" i="49"/>
  <c r="N34" i="38"/>
  <c r="W27" i="38" s="1"/>
  <c r="O34" i="38"/>
  <c r="Y8" i="48"/>
  <c r="E29" i="40"/>
  <c r="E43" i="40" s="1"/>
  <c r="W28" i="40"/>
  <c r="Z28" i="40" s="1"/>
  <c r="AB39" i="40"/>
  <c r="Y8" i="40"/>
  <c r="F29" i="40"/>
  <c r="B43" i="40"/>
  <c r="C51" i="40" s="1"/>
  <c r="G34" i="38"/>
  <c r="H34" i="38" s="1"/>
  <c r="AB51" i="38"/>
  <c r="C46" i="38"/>
  <c r="Y8" i="38"/>
  <c r="T26" i="38" s="1"/>
  <c r="V25" i="38"/>
  <c r="V26" i="38" l="1"/>
  <c r="V36" i="38" s="1"/>
  <c r="U44" i="38" s="1"/>
  <c r="U42" i="38"/>
  <c r="V41" i="38"/>
  <c r="U40" i="38"/>
  <c r="Y7" i="38"/>
  <c r="Y6" i="38"/>
  <c r="U39" i="38"/>
  <c r="X26" i="38"/>
  <c r="X27" i="38" s="1"/>
  <c r="Z27" i="38" s="1"/>
  <c r="B38" i="52"/>
  <c r="F29" i="52"/>
  <c r="E29" i="52"/>
  <c r="K38" i="52"/>
  <c r="O29" i="52"/>
  <c r="N29" i="52"/>
  <c r="Q34" i="38"/>
  <c r="U42" i="40"/>
  <c r="V41" i="40"/>
  <c r="U40" i="40"/>
  <c r="U39" i="40"/>
  <c r="X26" i="40"/>
  <c r="V26" i="40"/>
  <c r="V36" i="40" s="1"/>
  <c r="U44" i="40" s="1"/>
  <c r="Y7" i="40"/>
  <c r="Y6" i="40"/>
  <c r="X26" i="48"/>
  <c r="V26" i="48"/>
  <c r="V36" i="48" s="1"/>
  <c r="T26" i="48"/>
  <c r="Y7" i="48"/>
  <c r="Y6" i="48"/>
  <c r="U44" i="48"/>
  <c r="U42" i="48"/>
  <c r="V41" i="48"/>
  <c r="U40" i="48"/>
  <c r="U39" i="48"/>
  <c r="F43" i="40"/>
  <c r="C53" i="40" s="1"/>
  <c r="E29" i="48"/>
  <c r="H29" i="48" s="1"/>
  <c r="H38" i="48" s="1"/>
  <c r="O29" i="48"/>
  <c r="AK32" i="48" s="1"/>
  <c r="N29" i="48"/>
  <c r="N38" i="48" s="1"/>
  <c r="F29" i="48"/>
  <c r="C48" i="48" s="1"/>
  <c r="O29" i="40"/>
  <c r="O43" i="40" s="1"/>
  <c r="L53" i="40" s="1"/>
  <c r="N29" i="40"/>
  <c r="N43" i="40" s="1"/>
  <c r="L52" i="40" s="1"/>
  <c r="AB51" i="40"/>
  <c r="H29" i="40"/>
  <c r="H43" i="40" s="1"/>
  <c r="C48" i="38"/>
  <c r="U46" i="38"/>
  <c r="C47" i="38"/>
  <c r="U45" i="38"/>
  <c r="L46" i="38"/>
  <c r="O29" i="38"/>
  <c r="O38" i="38" s="1"/>
  <c r="N29" i="38"/>
  <c r="H29" i="38"/>
  <c r="H38" i="38" s="1"/>
  <c r="W26" i="52" l="1"/>
  <c r="U45" i="52"/>
  <c r="Q29" i="52"/>
  <c r="Q38" i="52" s="1"/>
  <c r="N38" i="52"/>
  <c r="L47" i="52"/>
  <c r="E38" i="52"/>
  <c r="H29" i="52"/>
  <c r="H38" i="52" s="1"/>
  <c r="C47" i="52"/>
  <c r="L48" i="52"/>
  <c r="AK32" i="52"/>
  <c r="U46" i="52"/>
  <c r="O38" i="52"/>
  <c r="F38" i="52"/>
  <c r="C48" i="52"/>
  <c r="U46" i="40"/>
  <c r="U45" i="48"/>
  <c r="C47" i="48"/>
  <c r="E38" i="48"/>
  <c r="U46" i="48"/>
  <c r="O38" i="48"/>
  <c r="L48" i="48"/>
  <c r="L47" i="48"/>
  <c r="Q29" i="48"/>
  <c r="Q38" i="48" s="1"/>
  <c r="F38" i="48"/>
  <c r="W26" i="48"/>
  <c r="Z26" i="48" s="1"/>
  <c r="Z36" i="48" s="1"/>
  <c r="AK32" i="40"/>
  <c r="W26" i="40"/>
  <c r="W36" i="40" s="1"/>
  <c r="Q29" i="40"/>
  <c r="Q43" i="40" s="1"/>
  <c r="U45" i="40"/>
  <c r="C52" i="40"/>
  <c r="W26" i="38"/>
  <c r="N38" i="38"/>
  <c r="L47" i="38" s="1"/>
  <c r="AK32" i="38"/>
  <c r="L48" i="38"/>
  <c r="Q29" i="38"/>
  <c r="Q38" i="38" s="1"/>
  <c r="W36" i="52" l="1"/>
  <c r="Z26" i="52"/>
  <c r="Z36" i="52" s="1"/>
  <c r="W36" i="48"/>
  <c r="Z26" i="40"/>
  <c r="Z36" i="40" s="1"/>
  <c r="W36" i="38"/>
  <c r="Z26" i="38"/>
  <c r="Z36" i="38" s="1"/>
  <c r="B1" i="49"/>
  <c r="B5" i="49"/>
  <c r="B7" i="49"/>
  <c r="B8" i="49"/>
  <c r="B11" i="49"/>
  <c r="B6" i="49"/>
  <c r="B12" i="49"/>
  <c r="B14" i="49"/>
  <c r="B15" i="49"/>
  <c r="B17" i="49"/>
  <c r="B18" i="49"/>
  <c r="B20" i="49"/>
  <c r="B21" i="49"/>
  <c r="B22" i="49"/>
  <c r="B23" i="49"/>
  <c r="B24" i="49"/>
  <c r="AU236" i="2"/>
  <c r="AU197" i="2"/>
  <c r="AU209" i="2"/>
  <c r="AU204" i="2"/>
  <c r="AU189" i="2"/>
  <c r="AU215" i="2"/>
  <c r="AU193" i="2"/>
  <c r="AU205" i="2"/>
  <c r="AU235" i="2"/>
  <c r="AU224" i="2"/>
  <c r="AU214" i="2"/>
  <c r="AU206" i="2"/>
  <c r="AU218" i="2"/>
  <c r="AU233" i="2"/>
  <c r="AU190" i="2"/>
  <c r="AU183" i="2"/>
  <c r="AU231" i="2"/>
  <c r="AU201" i="2"/>
  <c r="AU240" i="2"/>
  <c r="AU202" i="2"/>
  <c r="AU185" i="2"/>
  <c r="AU207" i="2"/>
  <c r="AU194" i="2"/>
  <c r="AU226" i="2"/>
  <c r="AU230" i="2"/>
  <c r="AU208" i="2"/>
  <c r="AU220" i="2"/>
  <c r="AU225" i="2"/>
  <c r="AU196" i="2"/>
  <c r="AU181" i="2"/>
  <c r="AU223" i="2"/>
  <c r="AU241" i="2"/>
  <c r="AU221" i="2"/>
  <c r="AU222" i="2"/>
  <c r="AU211" i="2"/>
  <c r="AU187" i="2"/>
  <c r="AU192" i="2"/>
  <c r="AU238" i="2"/>
  <c r="AU186" i="2"/>
  <c r="AU239" i="2"/>
  <c r="AU199" i="2"/>
  <c r="AU195" i="2"/>
  <c r="AU191" i="2"/>
  <c r="AU229" i="2"/>
  <c r="AU203" i="2"/>
  <c r="AU184" i="2"/>
  <c r="AU212" i="2"/>
  <c r="AU213" i="2"/>
  <c r="AU237" i="2"/>
  <c r="AU228" i="2"/>
  <c r="AU234" i="2"/>
  <c r="AU182" i="2"/>
  <c r="AU227" i="2"/>
  <c r="AU216" i="2"/>
  <c r="AU217" i="2"/>
  <c r="AU200" i="2"/>
  <c r="AU219" i="2"/>
  <c r="AU188" i="2"/>
  <c r="AU232" i="2"/>
  <c r="AU210" i="2"/>
  <c r="AU19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Chattrapatr</author>
  </authors>
  <commentList>
    <comment ref="C2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LIANGGE-SHANGMEI
======</t>
        </r>
      </text>
    </comment>
    <comment ref="A153" authorId="1" shapeId="0" xr:uid="{FA67720A-ADF9-41CD-8B27-1A4930CEF79F}">
      <text>
        <r>
          <rPr>
            <b/>
            <sz val="9"/>
            <color indexed="81"/>
            <rFont val="Tahoma"/>
            <family val="2"/>
          </rPr>
          <t>Chattrapatr:</t>
        </r>
        <r>
          <rPr>
            <sz val="9"/>
            <color indexed="81"/>
            <rFont val="Tahoma"/>
            <family val="2"/>
          </rPr>
          <t xml:space="preserve">
REF 2238944</t>
        </r>
      </text>
    </comment>
    <comment ref="A154" authorId="1" shapeId="0" xr:uid="{C8C27A7C-4AD9-43E5-94BA-F566D8C388E2}">
      <text>
        <r>
          <rPr>
            <b/>
            <sz val="9"/>
            <color indexed="81"/>
            <rFont val="Tahoma"/>
            <family val="2"/>
          </rPr>
          <t>Chattrapatr:</t>
        </r>
        <r>
          <rPr>
            <sz val="9"/>
            <color indexed="81"/>
            <rFont val="Tahoma"/>
            <family val="2"/>
          </rPr>
          <t xml:space="preserve">
REF 2238979</t>
        </r>
      </text>
    </comment>
    <comment ref="A157" authorId="1" shapeId="0" xr:uid="{E342548C-E12D-4CDB-BC0D-7DB3FADA37AE}">
      <text>
        <r>
          <rPr>
            <b/>
            <sz val="9"/>
            <color indexed="81"/>
            <rFont val="Tahoma"/>
            <family val="2"/>
          </rPr>
          <t>Chattrapatr:</t>
        </r>
        <r>
          <rPr>
            <sz val="9"/>
            <color indexed="81"/>
            <rFont val="Tahoma"/>
            <family val="2"/>
          </rPr>
          <t xml:space="preserve">
รอ draft bl และออก draft pc
- ตกเรือ รอเปลี่ยนเอกสาร 
&gt;&gt; คืนตู้แล้ว 12/05 (เรือใหม่) รอแก้เอกสารใบขนตาม หลังเรือออกแล้ว 16/05 (Status 0409)</t>
        </r>
      </text>
    </comment>
    <comment ref="C168" authorId="1" shapeId="0" xr:uid="{E6B0594E-C90C-4475-92FB-1947AC4EB8FA}">
      <text>
        <r>
          <rPr>
            <b/>
            <sz val="9"/>
            <color indexed="81"/>
            <rFont val="Tahoma"/>
            <family val="2"/>
          </rPr>
          <t>Shipper : TEIL</t>
        </r>
      </text>
    </comment>
    <comment ref="C172" authorId="1" shapeId="0" xr:uid="{0C9D9B11-D644-4AD2-A107-1D8C293A78AB}">
      <text>
        <r>
          <rPr>
            <b/>
            <sz val="9"/>
            <color indexed="81"/>
            <rFont val="Tahoma"/>
            <family val="2"/>
          </rPr>
          <t>Shipper : TEIL</t>
        </r>
      </text>
    </comment>
    <comment ref="A173" authorId="1" shapeId="0" xr:uid="{76DC0A23-F8A5-4D55-BCBA-FD1684948CD9}">
      <text>
        <r>
          <rPr>
            <b/>
            <sz val="9"/>
            <color indexed="81"/>
            <rFont val="Tahoma"/>
            <family val="2"/>
          </rPr>
          <t>ลค.เปลี่ยนโรงงาน จาก
ล้งสินิตา เป็น ล้งซินเซิ่งไท้  (จันทบุรี) เมื่อ 27/05
วันที่ 29.05.68 : (17.30) อัพเดทคืนตู้เปล่าเรียบร้อย</t>
        </r>
      </text>
    </comment>
    <comment ref="A178" authorId="1" shapeId="0" xr:uid="{BB69D5CD-0D3B-4879-B13C-24AE35093C94}">
      <text>
        <r>
          <rPr>
            <b/>
            <sz val="9"/>
            <color indexed="81"/>
            <rFont val="Tahoma"/>
            <family val="2"/>
          </rPr>
          <t xml:space="preserve">Draft PC - 10/06
</t>
        </r>
      </text>
    </comment>
    <comment ref="A183" authorId="1" shapeId="0" xr:uid="{52C39241-EAA8-49AD-BFAE-02F4F26E454B}">
      <text>
        <r>
          <rPr>
            <b/>
            <sz val="9"/>
            <color indexed="81"/>
            <rFont val="Tahoma"/>
            <family val="2"/>
          </rPr>
          <t>Draft PC 10/06</t>
        </r>
      </text>
    </comment>
    <comment ref="A185" authorId="1" shapeId="0" xr:uid="{450E7D91-6303-482D-A9F0-CC15452D0061}">
      <text>
        <r>
          <rPr>
            <b/>
            <sz val="9"/>
            <color indexed="81"/>
            <rFont val="Tahoma"/>
            <family val="2"/>
          </rPr>
          <t>Draft PC 10/06</t>
        </r>
      </text>
    </comment>
    <comment ref="A186" authorId="1" shapeId="0" xr:uid="{4FE7CBFB-CBEA-4958-99B9-D87B6E9EB2FE}">
      <text>
        <r>
          <rPr>
            <b/>
            <sz val="9"/>
            <color indexed="81"/>
            <rFont val="Tahoma"/>
            <family val="2"/>
          </rPr>
          <t>Draft PC 10/06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87" authorId="1" shapeId="0" xr:uid="{FC8534B4-5F70-4C3C-9113-05D1DA468702}">
      <text>
        <r>
          <rPr>
            <b/>
            <sz val="9"/>
            <color indexed="81"/>
            <rFont val="Tahoma"/>
            <family val="2"/>
          </rPr>
          <t xml:space="preserve">Draft PC 10/06
ลค ขอแก้ Date Inv. เป็น 7/06
</t>
        </r>
      </text>
    </comment>
    <comment ref="A188" authorId="1" shapeId="0" xr:uid="{B7F17321-7265-402B-A8E9-7E0061C44732}">
      <text>
        <r>
          <rPr>
            <b/>
            <sz val="9"/>
            <color indexed="81"/>
            <rFont val="Tahoma"/>
            <family val="2"/>
          </rPr>
          <t>Draft PC 10/06</t>
        </r>
      </text>
    </comment>
    <comment ref="A189" authorId="1" shapeId="0" xr:uid="{412FE871-D35A-4A53-822F-A5514E69C8ED}">
      <text>
        <r>
          <rPr>
            <b/>
            <sz val="9"/>
            <color indexed="81"/>
            <rFont val="Tahoma"/>
            <family val="2"/>
          </rPr>
          <t xml:space="preserve">Draft PC 10/06
</t>
        </r>
      </text>
    </comment>
    <comment ref="A190" authorId="1" shapeId="0" xr:uid="{C0F9B2C5-761E-461A-87B1-A95B41168F09}">
      <text>
        <r>
          <rPr>
            <b/>
            <sz val="9"/>
            <color indexed="81"/>
            <rFont val="Tahoma"/>
            <family val="2"/>
          </rPr>
          <t xml:space="preserve">Draft PC 10/06
แก้ไข consignee 10/06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1" authorId="1" shapeId="0" xr:uid="{E07C0892-EDC8-4477-91E1-A83C1B01FA4E}">
      <text>
        <r>
          <rPr>
            <b/>
            <sz val="9"/>
            <color indexed="81"/>
            <rFont val="Tahoma"/>
            <family val="2"/>
          </rPr>
          <t>Draft PC 10/06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2" authorId="1" shapeId="0" xr:uid="{0851F7C5-603E-49D5-882A-76FF4B07D8C9}">
      <text>
        <r>
          <rPr>
            <b/>
            <sz val="9"/>
            <color indexed="81"/>
            <rFont val="Tahoma"/>
            <family val="2"/>
          </rPr>
          <t xml:space="preserve">Draft PC 10/06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3" authorId="1" shapeId="0" xr:uid="{FEE9ECEA-EA66-4CFA-B267-A9E846AA56A6}">
      <text>
        <r>
          <rPr>
            <b/>
            <sz val="9"/>
            <color indexed="81"/>
            <rFont val="Tahoma"/>
            <family val="2"/>
          </rPr>
          <t>Draft PC 10/06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4" authorId="1" shapeId="0" xr:uid="{68C1265A-56C1-49A4-AB56-789A50BA2381}">
      <text>
        <r>
          <rPr>
            <b/>
            <sz val="9"/>
            <color indexed="81"/>
            <rFont val="Tahoma"/>
            <family val="2"/>
          </rPr>
          <t>Draft PC 10/06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6" authorId="1" shapeId="0" xr:uid="{7D71CEB2-CC7C-40B3-B1C2-A8C3B11D835C}">
      <text>
        <r>
          <rPr>
            <b/>
            <sz val="9"/>
            <color indexed="81"/>
            <rFont val="Tahoma"/>
            <family val="2"/>
          </rPr>
          <t>Draft PC 10/06</t>
        </r>
      </text>
    </comment>
    <comment ref="A197" authorId="1" shapeId="0" xr:uid="{FCDAEE84-2694-474B-AFA1-48E2DD63FD7F}">
      <text>
        <r>
          <rPr>
            <b/>
            <sz val="9"/>
            <color indexed="81"/>
            <rFont val="Tahoma"/>
            <family val="2"/>
          </rPr>
          <t>Draft PC 10/06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197" authorId="1" shapeId="0" xr:uid="{D2D43895-1FCF-43E4-A312-D6A325B83932}">
      <text>
        <r>
          <rPr>
            <b/>
            <sz val="9"/>
            <color indexed="81"/>
            <rFont val="Tahoma"/>
            <family val="2"/>
          </rPr>
          <t xml:space="preserve">ยังไม่ด้ออก พก7. รอ gap
</t>
        </r>
      </text>
    </comment>
    <comment ref="A198" authorId="1" shapeId="0" xr:uid="{C1398C14-9F81-405D-AA9D-BC1C25AF57B3}">
      <text>
        <r>
          <rPr>
            <b/>
            <sz val="9"/>
            <color indexed="81"/>
            <rFont val="Tahoma"/>
            <family val="2"/>
          </rPr>
          <t xml:space="preserve">Draft PC 10/06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9" authorId="1" shapeId="0" xr:uid="{E7214CD0-367F-4EDF-AA09-6A4BF494C3B4}">
      <text>
        <r>
          <rPr>
            <b/>
            <sz val="9"/>
            <color indexed="81"/>
            <rFont val="Tahoma"/>
            <family val="2"/>
          </rPr>
          <t>Draft PC 11/06</t>
        </r>
      </text>
    </comment>
    <comment ref="A200" authorId="1" shapeId="0" xr:uid="{3B847801-1364-493B-A2AC-8E4F36A16BD4}">
      <text>
        <r>
          <rPr>
            <b/>
            <sz val="9"/>
            <color indexed="81"/>
            <rFont val="Tahoma"/>
            <family val="2"/>
          </rPr>
          <t>Draft PC 11/06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01" authorId="1" shapeId="0" xr:uid="{26DCBF0C-A756-4143-B9E0-015523388580}">
      <text>
        <r>
          <rPr>
            <b/>
            <sz val="9"/>
            <color indexed="81"/>
            <rFont val="Tahoma"/>
            <family val="2"/>
          </rPr>
          <t>Draft PC 11/06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02" authorId="1" shapeId="0" xr:uid="{8A78AD5F-D094-42E5-A7BF-4454A1F7C9A0}">
      <text>
        <r>
          <rPr>
            <b/>
            <sz val="9"/>
            <color indexed="81"/>
            <rFont val="Tahoma"/>
            <family val="2"/>
          </rPr>
          <t>Draft PC 11/06</t>
        </r>
      </text>
    </comment>
    <comment ref="A205" authorId="1" shapeId="0" xr:uid="{2C540D23-FF22-4295-A64E-9F11981E823B}">
      <text>
        <r>
          <rPr>
            <b/>
            <sz val="9"/>
            <color indexed="81"/>
            <rFont val="Tahoma"/>
            <family val="2"/>
          </rPr>
          <t>confirm 13/06
สรุปTemp +13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06" authorId="1" shapeId="0" xr:uid="{7DE9FA45-C6EA-486D-8FA6-2E1A9F197D8E}">
      <text>
        <r>
          <rPr>
            <b/>
            <sz val="9"/>
            <color indexed="81"/>
            <rFont val="Tahoma"/>
            <family val="2"/>
          </rPr>
          <t xml:space="preserve">confirm 13/06
</t>
        </r>
      </text>
    </comment>
    <comment ref="A208" authorId="1" shapeId="0" xr:uid="{6C8ACA0B-8BB2-4E25-ACE0-FEB4FD9C0557}">
      <text>
        <r>
          <rPr>
            <b/>
            <sz val="9"/>
            <color indexed="81"/>
            <rFont val="Tahoma"/>
            <family val="2"/>
          </rPr>
          <t>confirm 13/06</t>
        </r>
      </text>
    </comment>
    <comment ref="A209" authorId="1" shapeId="0" xr:uid="{393C7D03-2C61-42F3-ACAE-01DC414E70B4}">
      <text>
        <r>
          <rPr>
            <b/>
            <sz val="9"/>
            <color indexed="81"/>
            <rFont val="Tahoma"/>
            <family val="2"/>
          </rPr>
          <t>confirm 13/06</t>
        </r>
      </text>
    </comment>
    <comment ref="A210" authorId="1" shapeId="0" xr:uid="{225B6BB0-4EB0-4B99-911B-00D7EDA114FB}">
      <text>
        <r>
          <rPr>
            <b/>
            <sz val="9"/>
            <color indexed="81"/>
            <rFont val="Tahoma"/>
            <family val="2"/>
          </rPr>
          <t>confirm 13/06</t>
        </r>
      </text>
    </comment>
    <comment ref="A211" authorId="1" shapeId="0" xr:uid="{67F5E325-7654-4A8B-9D98-74F8A7C8A752}">
      <text>
        <r>
          <rPr>
            <b/>
            <sz val="9"/>
            <color indexed="81"/>
            <rFont val="Tahoma"/>
            <family val="2"/>
          </rPr>
          <t>confirm 15/06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2" authorId="1" shapeId="0" xr:uid="{15362359-7048-4A82-AB95-88DF67C65AED}">
      <text>
        <r>
          <rPr>
            <b/>
            <sz val="9"/>
            <color indexed="81"/>
            <rFont val="Tahoma"/>
            <family val="2"/>
          </rPr>
          <t xml:space="preserve">confirm 15/06
</t>
        </r>
      </text>
    </comment>
    <comment ref="A214" authorId="1" shapeId="0" xr:uid="{255FD604-5B2F-47D6-B68F-9378318A3AD8}">
      <text>
        <r>
          <rPr>
            <b/>
            <sz val="9"/>
            <color indexed="81"/>
            <rFont val="Tahoma"/>
            <family val="2"/>
          </rPr>
          <t>confirm 14/06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Edit Cnee 16/06</t>
        </r>
      </text>
    </comment>
    <comment ref="A216" authorId="1" shapeId="0" xr:uid="{9378223C-1538-472E-8B44-2AAC89D7E406}">
      <text>
        <r>
          <rPr>
            <b/>
            <sz val="9"/>
            <color indexed="81"/>
            <rFont val="Tahoma"/>
            <family val="2"/>
          </rPr>
          <t>confirm 14/06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7" authorId="1" shapeId="0" xr:uid="{077CF278-D660-4903-B9D4-06270187530A}">
      <text>
        <r>
          <rPr>
            <b/>
            <sz val="9"/>
            <color indexed="81"/>
            <rFont val="Tahoma"/>
            <family val="2"/>
          </rPr>
          <t xml:space="preserve">confirm 15/06
Edit Cnee 16/06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8" authorId="1" shapeId="0" xr:uid="{8C383039-27D2-4853-823B-72E097FD1284}">
      <text>
        <r>
          <rPr>
            <b/>
            <sz val="9"/>
            <color indexed="81"/>
            <rFont val="Tahoma"/>
            <family val="2"/>
          </rPr>
          <t xml:space="preserve">confirm 15/06
Edit Cnee 16/06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9" authorId="1" shapeId="0" xr:uid="{601DAC82-6AF1-4830-9D94-AE5FBB4B1606}">
      <text>
        <r>
          <rPr>
            <b/>
            <sz val="9"/>
            <color indexed="81"/>
            <rFont val="Tahoma"/>
            <family val="2"/>
          </rPr>
          <t>confirm 16/06</t>
        </r>
      </text>
    </comment>
    <comment ref="A220" authorId="1" shapeId="0" xr:uid="{99BA9D24-B993-4BD6-9932-24745FD57B92}">
      <text>
        <r>
          <rPr>
            <b/>
            <sz val="9"/>
            <color indexed="81"/>
            <rFont val="Tahoma"/>
            <family val="2"/>
          </rPr>
          <t>confirm 16/06</t>
        </r>
      </text>
    </comment>
    <comment ref="A221" authorId="1" shapeId="0" xr:uid="{1DA6F4E2-8B24-4735-81C2-94DD7A1A0DF0}">
      <text>
        <r>
          <rPr>
            <b/>
            <sz val="9"/>
            <color indexed="81"/>
            <rFont val="Tahoma"/>
            <family val="2"/>
          </rPr>
          <t>confirm 17/06</t>
        </r>
      </text>
    </comment>
    <comment ref="A222" authorId="1" shapeId="0" xr:uid="{D4E69B4A-D865-4559-A873-C1FED5714FC5}">
      <text>
        <r>
          <rPr>
            <b/>
            <sz val="9"/>
            <color indexed="81"/>
            <rFont val="Tahoma"/>
            <family val="2"/>
          </rPr>
          <t>confirm 16/06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3" authorId="1" shapeId="0" xr:uid="{6A6B8287-BF9A-41F9-8152-D05097371494}">
      <text>
        <r>
          <rPr>
            <b/>
            <sz val="9"/>
            <color indexed="81"/>
            <rFont val="Tahoma"/>
            <family val="2"/>
          </rPr>
          <t>confirm 18/06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4" authorId="1" shapeId="0" xr:uid="{5E63E84C-EC14-458E-962E-E67DD514F9C6}">
      <text>
        <r>
          <rPr>
            <b/>
            <sz val="9"/>
            <color indexed="81"/>
            <rFont val="Tahoma"/>
            <family val="2"/>
          </rPr>
          <t>confirm 17/06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5" authorId="1" shapeId="0" xr:uid="{16A2279E-53F9-4336-8605-B2B69833C46A}">
      <text>
        <r>
          <rPr>
            <b/>
            <sz val="9"/>
            <color indexed="81"/>
            <rFont val="Tahoma"/>
            <family val="2"/>
          </rPr>
          <t>confirm 17/06</t>
        </r>
      </text>
    </comment>
    <comment ref="A226" authorId="1" shapeId="0" xr:uid="{BF4DCAFD-C84E-4EA4-A251-26A70B555F38}">
      <text>
        <r>
          <rPr>
            <b/>
            <sz val="9"/>
            <color indexed="81"/>
            <rFont val="Tahoma"/>
            <family val="2"/>
          </rPr>
          <t>confirm 17/06</t>
        </r>
      </text>
    </comment>
    <comment ref="A227" authorId="1" shapeId="0" xr:uid="{FF75B986-9481-487D-B63E-A281015405F9}">
      <text>
        <r>
          <rPr>
            <b/>
            <sz val="9"/>
            <color indexed="81"/>
            <rFont val="Tahoma"/>
            <family val="2"/>
          </rPr>
          <t>confirm 16/06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29" authorId="1" shapeId="0" xr:uid="{8B024E21-F558-4E4B-A450-241169D1F953}">
      <text>
        <r>
          <rPr>
            <b/>
            <sz val="9"/>
            <color indexed="81"/>
            <rFont val="Tahoma"/>
            <family val="2"/>
          </rPr>
          <t>confirm 18/06</t>
        </r>
      </text>
    </comment>
    <comment ref="A230" authorId="1" shapeId="0" xr:uid="{B18D0CC9-16B7-413C-BA8C-AD3EC4D9495A}">
      <text>
        <r>
          <rPr>
            <b/>
            <sz val="9"/>
            <color indexed="81"/>
            <rFont val="Tahoma"/>
            <family val="2"/>
          </rPr>
          <t>confirm 18/06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31" authorId="1" shapeId="0" xr:uid="{44504FD1-DAE4-472F-A00B-72341C038FD1}">
      <text>
        <r>
          <rPr>
            <b/>
            <sz val="9"/>
            <color indexed="81"/>
            <rFont val="Tahoma"/>
            <family val="2"/>
          </rPr>
          <t>confirm 18/06</t>
        </r>
      </text>
    </comment>
    <comment ref="A232" authorId="1" shapeId="0" xr:uid="{DD5F50B8-0785-4A9F-A56D-620DB02310A4}">
      <text>
        <r>
          <rPr>
            <b/>
            <sz val="9"/>
            <color indexed="81"/>
            <rFont val="Tahoma"/>
            <family val="2"/>
          </rPr>
          <t>confirm 18/06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41" authorId="1" shapeId="0" xr:uid="{2BF28F03-677A-4B91-84EC-FECE575FA017}">
      <text>
        <r>
          <rPr>
            <b/>
            <sz val="9"/>
            <color indexed="81"/>
            <rFont val="Tahoma"/>
            <family val="2"/>
          </rPr>
          <t xml:space="preserve">HongKong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UJBgjpocBbo2+1iQPqSsiWk5Nog=="/>
    </ext>
  </extLst>
</comments>
</file>

<file path=xl/sharedStrings.xml><?xml version="1.0" encoding="utf-8"?>
<sst xmlns="http://schemas.openxmlformats.org/spreadsheetml/2006/main" count="6610" uniqueCount="2302">
  <si>
    <t>PORT</t>
  </si>
  <si>
    <t>FACTORY</t>
  </si>
  <si>
    <t>CONSIGNEE</t>
  </si>
  <si>
    <t>ADDRESS</t>
  </si>
  <si>
    <t>NOTIFY PARTY</t>
  </si>
  <si>
    <t>EMAIL</t>
  </si>
  <si>
    <t>Original Documents Express Address</t>
  </si>
  <si>
    <t>สินค้า ENG</t>
  </si>
  <si>
    <t>สินค้าไทย</t>
  </si>
  <si>
    <t>ล้งลีฮุย</t>
  </si>
  <si>
    <t>นางสาวเหมย แซ่สวี</t>
  </si>
  <si>
    <t>38 หมู่ 4 ตำบลวังแซ้ม อำเภอมะขาม จันทบุรี</t>
  </si>
  <si>
    <t>UT 211050R0</t>
  </si>
  <si>
    <t>SHEKOU</t>
  </si>
  <si>
    <t>ล้งเฮียเจี๊ยบ</t>
  </si>
  <si>
    <t>201 BUILDING 5, NO 101, LIANYUN ROAD, XINMU COMMUNITY, PINGHU STREET, 
LONGGANG DISTRICT SHENZHEN, CHINA 
TEL: 86-755-25153962/15112469751 FAX: 86-755-25157941 
USCI: 91440300MA5FEEL91N</t>
  </si>
  <si>
    <t>FACTORY FLAT F ON 12TH FLOOR ON
FOOK INDUSTRIAL BUILDING NOS.41-45
KWAI FUNG CRESCENT KWAI CHUNG
N.T. HONGKONG
USCC:3970574800008176
EMAIL:FYGJ@SZAG.CN, YY@SZAG.CN</t>
  </si>
  <si>
    <t>FRESH DURIAN</t>
  </si>
  <si>
    <t>ทุเรียนสด</t>
  </si>
  <si>
    <t>0810.60</t>
  </si>
  <si>
    <t>แผงสุนิสา</t>
  </si>
  <si>
    <t>นางสาวสุนิสา แซ่หลี่</t>
  </si>
  <si>
    <t>56(สุนิสา) หมู่ 4 ตำบลเขาวัว อำเภอท่าใหม่ จันทบุรี</t>
  </si>
  <si>
    <t>AC 31-9047-22-000-200184 GMP</t>
  </si>
  <si>
    <t>NANSHA</t>
  </si>
  <si>
    <t>ทั่วไป</t>
  </si>
  <si>
    <t>BEIJING JUNYAO INTERNATIONAL</t>
  </si>
  <si>
    <t xml:space="preserve">
ADD: ROOM 301, UNIT 4, BUILDING N0.1, COURTYARD 2, JIAOGEZHUANG STREET NANFAXIN TOWN, SHUNYI DISTRICT, BEIJING, CHINA, 101300.
USCI：91110113MA003ATG6P
Contact：Ms.Lv Huibin
TEL: 0086-13911653846</t>
  </si>
  <si>
    <t>gm@bjncei.com, docs.list@bjncei.com</t>
  </si>
  <si>
    <t>FRESH MANGOSTEEN</t>
  </si>
  <si>
    <t>มังคุดสด</t>
  </si>
  <si>
    <t>0804.50</t>
  </si>
  <si>
    <t>ล้งJTX</t>
  </si>
  <si>
    <t>บริษัท เจ ที เอ๊กซ์ เทรดดิ้ง จำกัด</t>
  </si>
  <si>
    <t>104/5 หมู่ 13 ตำบลลองนารายณ์ อำเภอเมือง จังหวัดจันทบุรี</t>
  </si>
  <si>
    <t>AC 31-9047-22-000-200742 GMP</t>
  </si>
  <si>
    <t>ล้งจี๋เซียง ฟรุ๊ตส์</t>
  </si>
  <si>
    <t>บริษัท จี๋เซียง ฟรุ๊ตส์ จำกัด (สาขา 2)</t>
  </si>
  <si>
    <t>230/5 หมู่ 1 ตำบลทุ่งควายกิน อำเภอแกลง จังหวัดระยอง</t>
  </si>
  <si>
    <t>AC 31-9047-21-000-200686 GMP</t>
  </si>
  <si>
    <t>QINZHOU</t>
  </si>
  <si>
    <t>NINGBO YUCHAN SCIENCE AND TECHNOLOGY CO., LTD.</t>
  </si>
  <si>
    <t>DONGYI ROAD JIANGSHAN TOWER SCIENCE AND TECNOLOGY PARK, YINZHOU DISTRICT,
NINGBO, ZHEJIAN 315000
EMAIL: 269541866@QQ.COM, 494011554@QQ.COM
TEL.: 0574-88302367</t>
  </si>
  <si>
    <t>GUANGXI ZHENGFAN INTERNATIONAL LOGISTICS CO.,LTD</t>
  </si>
  <si>
    <t>ROOM 2210, BUILDING 2, LIQUOR TRADING CENTER OF FREE TRADE ZONE,
WEST OF NO.2 ROAD, EAST OF NANHAI ROAD, 
QINZHOU PORT AREA OF CHINA(GUANGXI) PILOT FREE TRADE ZONE
USCI: 91450001MA7B2DQ608
CONTACT PERSON: GRACE
TEL:+86 0777-5881627
EMAIL: DOC2@ZHENGFANLOGISTICS.COM, OP4@ZHENGFANLOGISTICS.COM</t>
  </si>
  <si>
    <r>
      <rPr>
        <b/>
        <sz val="10"/>
        <color theme="1"/>
        <rFont val="Calibri"/>
        <family val="2"/>
      </rPr>
      <t xml:space="preserve">Guangxi Zhengfan International Logistics Co.,Ltd </t>
    </r>
    <r>
      <rPr>
        <sz val="10"/>
        <color theme="1"/>
        <rFont val="Calibri"/>
        <family val="2"/>
      </rPr>
      <t xml:space="preserve">
Room 2210, Building 2, Liquor Trading Center of Free Trade Zone,west of No.2 Road, East of Nanhai Road,Qinzhou Port Area of China (Guangxi) Pilot Free Trade Zone
Contact:ZHOU LISI
TEL:+8613635180521，0777-5881860
Post code:530000</t>
    </r>
  </si>
  <si>
    <t>ล้งTAF</t>
  </si>
  <si>
    <t>บริษัท ไถ่ เฮ่า โฟง อะกริคัลเจอรัล ไซเอนซ์ แอนด์ เทคโนโลยี จักด</t>
  </si>
  <si>
    <t>83/ หมู่ 7 ตำบลเกวียนหัก อำเภอขลุง จังหวัดจุนทบุรี</t>
  </si>
  <si>
    <t>AC 31-9047-22-000-200265 GMP</t>
  </si>
  <si>
    <t>LIHUI</t>
  </si>
  <si>
    <t>GUANGDONG RICH LOONG SUPPLY CHAIN MANAGEMENT LTD.</t>
  </si>
  <si>
    <t>ADD: Room 308,Building NO.4,No.125-4 LongXue Avenue,Nansha District,Guangzhou
CONTACT PERSON: LIN SUI LIN
TEL:86-13560231428
Email:sea_service@richloong.cn
USCI: 91440115072130891A</t>
  </si>
  <si>
    <r>
      <rPr>
        <b/>
        <sz val="10"/>
        <color theme="1"/>
        <rFont val="Calibri"/>
        <family val="2"/>
      </rPr>
      <t>GUANGDONG RICH LOONG SUPPLY CHAIN MANAGEMENT LTD.</t>
    </r>
    <r>
      <rPr>
        <sz val="10"/>
        <color theme="1"/>
        <rFont val="Calibri"/>
        <family val="2"/>
      </rPr>
      <t xml:space="preserve">
RM. C-307,NO.125, LONGXUE DA DAO ZHONG ROAD,NANSHA DISTRICT, GUANGZHOU, China
Tel：13711306095
Contact: Miss. Wu 
Postcode: 511464</t>
    </r>
  </si>
  <si>
    <t>แผงหมอเทียม</t>
  </si>
  <si>
    <t>นายสันติชัย ชนะฤทธิชัย(หมอเทียม)</t>
  </si>
  <si>
    <t>47/1 หมู่ 4 ตำบลซึ้ง อำเภอขลุง จังหวัดจันทบุรี</t>
  </si>
  <si>
    <t>AC 31-9047-22-000-200722 GMP</t>
  </si>
  <si>
    <t>MR.MA</t>
  </si>
  <si>
    <t>Zhengzhou Jinqiu Hongshuo Import and Export Trading Co., Ltd.</t>
  </si>
  <si>
    <t>Taxpayer identification number: 91410122MA9KACEJ3Y
Address: 18539283666, 2nd Floor, Unit 1, Building 5, Wanbang Logistics Park, Wanhong Road, Zhongmu County, Zhengzhou City, Henan Province</t>
  </si>
  <si>
    <t>แผงน้องใหม่</t>
  </si>
  <si>
    <t>นางสาวขนิษฐา พิมพา</t>
  </si>
  <si>
    <t>88/7 หมู่ 10 ตำบลแสลง อำเภอเมือง จังหวัดจันทบุรี 22000</t>
  </si>
  <si>
    <t>AC 31-9047-22-000-200202 GMP</t>
  </si>
  <si>
    <t>ล้งXY</t>
  </si>
  <si>
    <t>บริษัท เอ็กซ์วาย เทรดดิ้ง (ไทยแลนด์) จำกัด</t>
  </si>
  <si>
    <t xml:space="preserve">12/4 หมู่ 10 ตำบลคมบาง อำเภอเมือง งหวัดจันทบุรี </t>
  </si>
  <si>
    <t>AC 15-9047-22-000-000227 GMP</t>
  </si>
  <si>
    <t>มณฑลรุ่งเรืองฟรูท</t>
  </si>
  <si>
    <t>บริษัท มณฑล รุ่งเรืองฟรูท จำกัด</t>
  </si>
  <si>
    <t>101/5 หมู่ 5 ตำบลสองสลึง อำเภอแภลง จังหวัดระยอง</t>
  </si>
  <si>
    <t>AC 15-9047-21-000-00064 GMP</t>
  </si>
  <si>
    <t>GUORUI_XIANFENG</t>
  </si>
  <si>
    <t>RUANYUE</t>
  </si>
  <si>
    <t>5.00</t>
  </si>
  <si>
    <t>CARTONS</t>
  </si>
  <si>
    <t>30%</t>
  </si>
  <si>
    <t>Lion King Supply Chain Management Co., LTD.</t>
  </si>
  <si>
    <t>LIANGGE_DINGCHEN</t>
  </si>
  <si>
    <t>SHANGTAI</t>
  </si>
  <si>
    <t>LIANGGE_SHANGMEI</t>
  </si>
  <si>
    <t>SHANGMEI</t>
  </si>
  <si>
    <t>LIUGE_XIANFENG</t>
  </si>
  <si>
    <t>YINGSHIWANG</t>
  </si>
  <si>
    <t>JINSHUO</t>
  </si>
  <si>
    <t>25%</t>
  </si>
  <si>
    <t>MS.BANJIE</t>
  </si>
  <si>
    <t>DAMUZHI</t>
  </si>
  <si>
    <t>ZHONGSHAN ZHENGTONG TRADING CO.,LTD</t>
  </si>
  <si>
    <t>MS.FEN</t>
  </si>
  <si>
    <t>XING YE YUAN</t>
  </si>
  <si>
    <t>CNY 36</t>
  </si>
  <si>
    <t>CNY 33</t>
  </si>
  <si>
    <t>35%</t>
  </si>
  <si>
    <t>DALIAN GLORYTIMES IMPORT &amp; TRADE CO., LTD</t>
  </si>
  <si>
    <t>GDL</t>
  </si>
  <si>
    <t>SHANGXIANG</t>
  </si>
  <si>
    <t>HENGMAI</t>
  </si>
  <si>
    <t>XIANGSHENGYUAN</t>
  </si>
  <si>
    <t>GUANGXI HENGMAI TRADING CO., LTD.</t>
  </si>
  <si>
    <t>LIANGGE_DINGCHEN'</t>
  </si>
  <si>
    <t>4.8</t>
  </si>
  <si>
    <t>LIANGGE_SHANGMEI'</t>
  </si>
  <si>
    <t>TAIWAN</t>
  </si>
  <si>
    <t>M2</t>
  </si>
  <si>
    <t>2.7</t>
  </si>
  <si>
    <t>LONG KAE AGRICULTURAL PRODUCT CO., LTD</t>
  </si>
  <si>
    <t>LIUGE - ZHONGBO'</t>
  </si>
  <si>
    <t>YING SHI WANG</t>
  </si>
  <si>
    <t>SHENZHEN ZHONGBOLITAI IMPORT AND EXPORT CO., LTD</t>
  </si>
  <si>
    <t>YANZI</t>
  </si>
  <si>
    <t>TAIXIAN</t>
  </si>
  <si>
    <t>FRESH POMALO</t>
  </si>
  <si>
    <t>0.7</t>
  </si>
  <si>
    <t>SHENZHEN SHENG TAI HUAN YU SUPPLY CHAIN CO., LTD.</t>
  </si>
  <si>
    <t>ZG</t>
  </si>
  <si>
    <t>175.9524</t>
  </si>
  <si>
    <t>SHANXI ZHONGGUO FRUIT IMPORT AND EXPORT CO., LTD.</t>
  </si>
  <si>
    <t>ZHANGGE</t>
  </si>
  <si>
    <t>JUANJIE</t>
  </si>
  <si>
    <t>GUORUI_WONENG</t>
  </si>
  <si>
    <t>Qingdao Hongruiyang Trading Co., Ltd</t>
  </si>
  <si>
    <t>FAJIE</t>
  </si>
  <si>
    <t>YC</t>
  </si>
  <si>
    <t>Foshan City International Trade Co., Ltd</t>
  </si>
  <si>
    <t>17 Elephants</t>
  </si>
  <si>
    <t xml:space="preserve">NAN TIAN DIGITAL TECHNOLOGY (YUNNAN) CO., LTD. </t>
  </si>
  <si>
    <t>SENBA</t>
  </si>
  <si>
    <t>SAMBA SUPPLY CHAIN (SHANGHAI) CO., LTD</t>
  </si>
  <si>
    <t>ZD168</t>
  </si>
  <si>
    <t>LIU TAI WANG</t>
  </si>
  <si>
    <t>FENGGE</t>
  </si>
  <si>
    <t>Y C</t>
  </si>
  <si>
    <t>FRESH Mangosteen</t>
  </si>
  <si>
    <t>PLASTIC BASKETS</t>
  </si>
  <si>
    <t>15%</t>
  </si>
  <si>
    <t>SICHUAN COMMERCIAL INVESTMENT INVESTMENT CO,LTD</t>
  </si>
  <si>
    <t>SEN BA</t>
  </si>
  <si>
    <t>5%</t>
  </si>
  <si>
    <t>Runpai_ZhangZon</t>
  </si>
  <si>
    <t>SHENZHEN DERUIJIA TRADING CO,. LTD</t>
  </si>
  <si>
    <t>RONG CHEN</t>
  </si>
  <si>
    <t>KANGMEI</t>
  </si>
  <si>
    <t>FRESH LONGAN</t>
  </si>
  <si>
    <t>15CMH(2%)</t>
  </si>
  <si>
    <t>XIN ZONG</t>
  </si>
  <si>
    <t>V</t>
  </si>
  <si>
    <t>OOCL NORFOLK V.263N</t>
  </si>
  <si>
    <t>SHIPMENT NO.</t>
  </si>
  <si>
    <t>DATE</t>
  </si>
  <si>
    <t>Customer Name</t>
  </si>
  <si>
    <t xml:space="preserve">NO. </t>
  </si>
  <si>
    <t>ล้ง</t>
  </si>
  <si>
    <t>เบอร์ล้ง</t>
  </si>
  <si>
    <t>Mark</t>
  </si>
  <si>
    <t>Goods Description</t>
  </si>
  <si>
    <t>BL NO.</t>
  </si>
  <si>
    <t>Cont. No</t>
  </si>
  <si>
    <t>SEAL NO.</t>
  </si>
  <si>
    <t>INV_No</t>
  </si>
  <si>
    <t>INV_CIF</t>
  </si>
  <si>
    <t>INV_FOB</t>
  </si>
  <si>
    <t>Gross W</t>
  </si>
  <si>
    <t>Net W</t>
  </si>
  <si>
    <t>No Package</t>
  </si>
  <si>
    <t>Package Type</t>
  </si>
  <si>
    <t>Temp.</t>
  </si>
  <si>
    <t>Vent</t>
  </si>
  <si>
    <t>Consignee_Name</t>
  </si>
  <si>
    <t>Agent</t>
  </si>
  <si>
    <t>Liner</t>
  </si>
  <si>
    <t>Departure Port</t>
  </si>
  <si>
    <t>CY Date</t>
  </si>
  <si>
    <t>Closing time</t>
  </si>
  <si>
    <t>ETD/ATD</t>
  </si>
  <si>
    <t>ETA/ATA</t>
  </si>
  <si>
    <t>Destination</t>
  </si>
  <si>
    <t>Vessel_Name</t>
  </si>
  <si>
    <t>บริษัทรถ</t>
  </si>
  <si>
    <t>คนขับรถ</t>
  </si>
  <si>
    <t>เบอร์โทร</t>
  </si>
  <si>
    <t>ทะเบียนรถไทย</t>
  </si>
  <si>
    <t>Load Place</t>
  </si>
  <si>
    <t>เข้าล้ง</t>
  </si>
  <si>
    <t>ออกล้ง</t>
  </si>
  <si>
    <t>Reture</t>
  </si>
  <si>
    <t>ค่ารถ</t>
  </si>
  <si>
    <t>ค่าค้างคืน</t>
  </si>
  <si>
    <t>Total</t>
  </si>
  <si>
    <t>FAL</t>
  </si>
  <si>
    <t>EML</t>
  </si>
  <si>
    <t>LCB</t>
  </si>
  <si>
    <t>KERRY</t>
  </si>
  <si>
    <t>BDN</t>
  </si>
  <si>
    <t>อุทัย หลอนพลทับ</t>
  </si>
  <si>
    <t>098-3124176</t>
  </si>
  <si>
    <t>จันทบุรี</t>
  </si>
  <si>
    <t>CNC</t>
  </si>
  <si>
    <t>พี่บิว</t>
  </si>
  <si>
    <t>082-5379537</t>
  </si>
  <si>
    <t>พี่บิ๊ก</t>
  </si>
  <si>
    <t>จรูญ จันทะคาม</t>
  </si>
  <si>
    <t>093-0392926</t>
  </si>
  <si>
    <t>PC-LCH24004</t>
  </si>
  <si>
    <t>ศักดา ทำนุ</t>
  </si>
  <si>
    <t>094-3269995</t>
  </si>
  <si>
    <t>72-6693รย/73-9538ชบ</t>
  </si>
  <si>
    <t>ชาญณรงค์ ยศสมุทร</t>
  </si>
  <si>
    <t>092-6254940</t>
  </si>
  <si>
    <t>74-4829/74-4828</t>
  </si>
  <si>
    <t>SJJ</t>
  </si>
  <si>
    <t>C3</t>
  </si>
  <si>
    <t>MILD ORCHID V.2414N</t>
  </si>
  <si>
    <t>นายสุเทพ สามารถ</t>
  </si>
  <si>
    <t>061-5531926</t>
  </si>
  <si>
    <t>PC-LCH24008</t>
  </si>
  <si>
    <t>PC-LCH24009</t>
  </si>
  <si>
    <t>ล้งอาเหมียว</t>
  </si>
  <si>
    <t>084-2189262</t>
  </si>
  <si>
    <t>035EX25718</t>
  </si>
  <si>
    <t>WHL</t>
  </si>
  <si>
    <t>A2</t>
  </si>
  <si>
    <t>2024/04/27 - 13.00</t>
  </si>
  <si>
    <t>WAN HAI 286 V.N057</t>
  </si>
  <si>
    <t>064-9983582</t>
  </si>
  <si>
    <t>ล้งGDL</t>
  </si>
  <si>
    <t>086-5453896</t>
  </si>
  <si>
    <t>พี่เขม</t>
  </si>
  <si>
    <t>085-7659454</t>
  </si>
  <si>
    <t>พี่วารี</t>
  </si>
  <si>
    <t>B5</t>
  </si>
  <si>
    <t>XIN WU HAN V.162S</t>
  </si>
  <si>
    <t>PC-LCH24014</t>
  </si>
  <si>
    <t>084-5490710</t>
  </si>
  <si>
    <t>จรูญ จันตะคาม</t>
  </si>
  <si>
    <t>74-2081สป/71-2262นน</t>
  </si>
  <si>
    <t>แผงYC</t>
  </si>
  <si>
    <t>099-2496088</t>
  </si>
  <si>
    <t>36CNY</t>
  </si>
  <si>
    <t>34CNY</t>
  </si>
  <si>
    <t>PC-LCH24016</t>
  </si>
  <si>
    <t>SEGU9946364</t>
  </si>
  <si>
    <t>WH21-194136</t>
  </si>
  <si>
    <t>ณรงค์ แก่นมณี</t>
  </si>
  <si>
    <t xml:space="preserve"> 099-630-2355</t>
  </si>
  <si>
    <t>70-7445/70-8437รบ</t>
  </si>
  <si>
    <t>PC-LCH24017</t>
  </si>
  <si>
    <t>JJCLCNSY400292</t>
  </si>
  <si>
    <t>FBIU5111181</t>
  </si>
  <si>
    <t>SJJC049067</t>
  </si>
  <si>
    <t>4/28/2024 - 02.00</t>
  </si>
  <si>
    <t>THAI RF</t>
  </si>
  <si>
    <t>เอกพันธ์ ผลผกา</t>
  </si>
  <si>
    <t>065-113-9565</t>
  </si>
  <si>
    <t>72-4202</t>
  </si>
  <si>
    <t>PC-LCH24018</t>
  </si>
  <si>
    <t>JJCLCNSY400293</t>
  </si>
  <si>
    <t>SEGU9697723</t>
  </si>
  <si>
    <t>SJJC049051</t>
  </si>
  <si>
    <t>สมพงษ์ สมบูรณ์</t>
  </si>
  <si>
    <t>098-805-7897</t>
  </si>
  <si>
    <t>72-9190</t>
  </si>
  <si>
    <t>PC-LCH24019</t>
  </si>
  <si>
    <t>JJCLCNSY400294</t>
  </si>
  <si>
    <t>FBIU5337287</t>
  </si>
  <si>
    <t>SJJC049058</t>
  </si>
  <si>
    <t>ธนากร ไชยเชษฐ์</t>
  </si>
  <si>
    <t>064-312-3694</t>
  </si>
  <si>
    <t>71-9875</t>
  </si>
  <si>
    <t>PC-LCH24020</t>
  </si>
  <si>
    <t>JJCLCNSY400295</t>
  </si>
  <si>
    <t>SEKU9159450</t>
  </si>
  <si>
    <t>SJJC049060</t>
  </si>
  <si>
    <t>APSR</t>
  </si>
  <si>
    <t>สมสมัย มาสมณีวงษ์</t>
  </si>
  <si>
    <t>082-4727785</t>
  </si>
  <si>
    <t>70-6804/70-6806มค</t>
  </si>
  <si>
    <t>PC-LCH24021</t>
  </si>
  <si>
    <t>GDL'</t>
  </si>
  <si>
    <t>JJCLCNSY400297</t>
  </si>
  <si>
    <t>SEKU9089610</t>
  </si>
  <si>
    <t>SJJC049052</t>
  </si>
  <si>
    <t>5/02/2024 - 02.00</t>
  </si>
  <si>
    <t>SITC RENDE V.2409N</t>
  </si>
  <si>
    <t>ศราวุธ มาสมณีวงษ์</t>
  </si>
  <si>
    <t>063-5412612</t>
  </si>
  <si>
    <t>70-5143มค/73-5456สป</t>
  </si>
  <si>
    <t>PC-LCH24022</t>
  </si>
  <si>
    <t>GTD0844087</t>
  </si>
  <si>
    <t>AMCU9350846</t>
  </si>
  <si>
    <t>L6415621</t>
  </si>
  <si>
    <t>4/28/2024 - 18.00</t>
  </si>
  <si>
    <t>พี่แก้ว</t>
  </si>
  <si>
    <t>ธวัชชัย ธงงาม</t>
  </si>
  <si>
    <t>096-9690394</t>
  </si>
  <si>
    <t>72-6514ชลบุรี</t>
  </si>
  <si>
    <t>PC-LCH24023</t>
  </si>
  <si>
    <t>GTD0843460</t>
  </si>
  <si>
    <t>CGMU8012865</t>
  </si>
  <si>
    <t>L6424457</t>
  </si>
  <si>
    <t>นภกร ศิลปบูรณะ</t>
  </si>
  <si>
    <t>061-3219888</t>
  </si>
  <si>
    <t>72-4648รย/72-4670รย</t>
  </si>
  <si>
    <t>PC-LCH24024</t>
  </si>
  <si>
    <t>GTD0844088</t>
  </si>
  <si>
    <t>SEKU9259969</t>
  </si>
  <si>
    <t>L6424817</t>
  </si>
  <si>
    <t>74-2081สป/71-226นน</t>
  </si>
  <si>
    <t>PC-LCH24025</t>
  </si>
  <si>
    <t>แผงป๋าเอฟ</t>
  </si>
  <si>
    <t>082-5928942</t>
  </si>
  <si>
    <t>GTD0844083</t>
  </si>
  <si>
    <t>SEKU9069531</t>
  </si>
  <si>
    <t>L6424318</t>
  </si>
  <si>
    <t>เสถียร  มวลคำลา</t>
  </si>
  <si>
    <t>098-9758577</t>
  </si>
  <si>
    <t>73-6239สป/ 72-6694</t>
  </si>
  <si>
    <t>PC-LCH24026</t>
  </si>
  <si>
    <t>GTD0844085</t>
  </si>
  <si>
    <t>AMCU9338840</t>
  </si>
  <si>
    <t>L6424848</t>
  </si>
  <si>
    <t>PC-LCH24027</t>
  </si>
  <si>
    <t>GTD0844086</t>
  </si>
  <si>
    <t>CGMU8021701</t>
  </si>
  <si>
    <t>L6424819</t>
  </si>
  <si>
    <t>โยธิน เจริญศรี</t>
  </si>
  <si>
    <t>084-2838772</t>
  </si>
  <si>
    <t>70-6350นน/72-4718รย</t>
  </si>
  <si>
    <t>PC-LCH24028</t>
  </si>
  <si>
    <t>GTD0843459</t>
  </si>
  <si>
    <t>AMCU9305261</t>
  </si>
  <si>
    <t>L6420777</t>
  </si>
  <si>
    <t>68-0608กท/ 68-0609กท</t>
  </si>
  <si>
    <t>PC-LCH24029</t>
  </si>
  <si>
    <t>FBIU5181316</t>
  </si>
  <si>
    <t>SNLELCCL001135</t>
  </si>
  <si>
    <t>SNL675573</t>
  </si>
  <si>
    <t>SINOTRANS</t>
  </si>
  <si>
    <t>ASL HONG KONG V.2405N</t>
  </si>
  <si>
    <t>Al</t>
  </si>
  <si>
    <t>ชัชวาลย์ ประมวล</t>
  </si>
  <si>
    <t>092-8789177</t>
  </si>
  <si>
    <t>79-1716/61-8609กทม</t>
  </si>
  <si>
    <t>PC-LCH24030</t>
  </si>
  <si>
    <t>TTNU8660333</t>
  </si>
  <si>
    <t>SNLELCCL001134</t>
  </si>
  <si>
    <t>SNL676229</t>
  </si>
  <si>
    <t>วินัย หมั่นจิตร</t>
  </si>
  <si>
    <t>061-8635585</t>
  </si>
  <si>
    <t>68-4301/61-8616กทม</t>
  </si>
  <si>
    <t>PC-LCH24031</t>
  </si>
  <si>
    <t>พี่ฟ้า</t>
  </si>
  <si>
    <t>SNHU8016684</t>
  </si>
  <si>
    <t>SNLELCCL001133</t>
  </si>
  <si>
    <t>SNL676223</t>
  </si>
  <si>
    <t>AI</t>
  </si>
  <si>
    <t>ไวพจน์ ศรีปานเงิน</t>
  </si>
  <si>
    <t>061-2658169</t>
  </si>
  <si>
    <t>67-6069/618627กทม</t>
  </si>
  <si>
    <t>PC-LCH24032</t>
  </si>
  <si>
    <t>FBIU5189981</t>
  </si>
  <si>
    <t>SNLELCCL001137</t>
  </si>
  <si>
    <t>SNL676225</t>
  </si>
  <si>
    <t>ธวัชชัย อินทร์สิทธิ์</t>
  </si>
  <si>
    <t>098-0758076</t>
  </si>
  <si>
    <t>68-4303/69-4236กทม</t>
  </si>
  <si>
    <t>PC-LCH24033</t>
  </si>
  <si>
    <t>TTNU8662188</t>
  </si>
  <si>
    <t>SNLELCCL001136</t>
  </si>
  <si>
    <t>SNL675534</t>
  </si>
  <si>
    <t>นครินทร์ ศรีพินิจ</t>
  </si>
  <si>
    <t>099-0825533</t>
  </si>
  <si>
    <t>73-5118/78-8516สค</t>
  </si>
  <si>
    <t>PC-LCH24034</t>
  </si>
  <si>
    <t>CGMU5565023</t>
  </si>
  <si>
    <t>GTD0845442</t>
  </si>
  <si>
    <t>L6420115</t>
  </si>
  <si>
    <t>4/30/2024 - 18.00</t>
  </si>
  <si>
    <t>INGENUITY V.0QIHQN</t>
  </si>
  <si>
    <t>ณัฐพล เพ็ญจันทึก</t>
  </si>
  <si>
    <t>098-2278876</t>
  </si>
  <si>
    <t>69-1351/621351กทม</t>
  </si>
  <si>
    <t>PC-LCH24035</t>
  </si>
  <si>
    <t>FBIU5138562</t>
  </si>
  <si>
    <t>GTD0845439</t>
  </si>
  <si>
    <t>L6424806</t>
  </si>
  <si>
    <t>พี่แก้ม</t>
  </si>
  <si>
    <t>วรานนท์ วียะรันด์</t>
  </si>
  <si>
    <t>098-5299939</t>
  </si>
  <si>
    <t>74-5416 ชบ/63-2679กทม</t>
  </si>
  <si>
    <t>PC-LCH24036</t>
  </si>
  <si>
    <t>AMCU9303607</t>
  </si>
  <si>
    <t>GTD0844382</t>
  </si>
  <si>
    <t>L6424783</t>
  </si>
  <si>
    <t>68-0608/68-0609กทม</t>
  </si>
  <si>
    <t>PC-LCH24037</t>
  </si>
  <si>
    <t>GTD0844381</t>
  </si>
  <si>
    <t>CGMU5558744</t>
  </si>
  <si>
    <t>L6420241</t>
  </si>
  <si>
    <t>5..06</t>
  </si>
  <si>
    <t>70-6350/72-4718นบ</t>
  </si>
  <si>
    <t>PC-LCH24038</t>
  </si>
  <si>
    <t>SEKU9256189</t>
  </si>
  <si>
    <t>GTD0845453</t>
  </si>
  <si>
    <t>L6420126</t>
  </si>
  <si>
    <t>72-6693/73-9538รย</t>
  </si>
  <si>
    <t>PC-LCH24039</t>
  </si>
  <si>
    <t>SEKU9266886</t>
  </si>
  <si>
    <t>GTD0845452</t>
  </si>
  <si>
    <t>L6424779</t>
  </si>
  <si>
    <t>ผู้ใหญ่นิด</t>
  </si>
  <si>
    <t>สายัณห์</t>
  </si>
  <si>
    <t>083-7957137</t>
  </si>
  <si>
    <t>60-2917/71-8219สข</t>
  </si>
  <si>
    <t>PC-LCH24040</t>
  </si>
  <si>
    <t>TEMU9900570</t>
  </si>
  <si>
    <t>GTD0845451</t>
  </si>
  <si>
    <t>L6420634</t>
  </si>
  <si>
    <t>ทูล...หลาเบี้ย</t>
  </si>
  <si>
    <t>062-3241640</t>
  </si>
  <si>
    <t>71-3441/71-3442ปท</t>
  </si>
  <si>
    <t>PC-LCH24041</t>
  </si>
  <si>
    <t>AMCU9312717</t>
  </si>
  <si>
    <t>GTD0845449</t>
  </si>
  <si>
    <t>L6420133</t>
  </si>
  <si>
    <t>ชรินทร์ คงปฏิธานนท์</t>
  </si>
  <si>
    <t>084-2701797</t>
  </si>
  <si>
    <t>71-9295/71-8219สข</t>
  </si>
  <si>
    <t>PC-LCH24042</t>
  </si>
  <si>
    <t>คุนหลิน</t>
  </si>
  <si>
    <t>SEKU9266504</t>
  </si>
  <si>
    <t>GTD0845448</t>
  </si>
  <si>
    <t>L6420238</t>
  </si>
  <si>
    <t>นิธิสรณ์ กรงรัมย์</t>
  </si>
  <si>
    <t>099-3742296</t>
  </si>
  <si>
    <t>72-8435/71-7821ฉท</t>
  </si>
  <si>
    <t>PC-LCH24043</t>
  </si>
  <si>
    <t>AMCU9373857</t>
  </si>
  <si>
    <t>GTD0845446</t>
  </si>
  <si>
    <t>L6420684</t>
  </si>
  <si>
    <t>ทองสูน น้อยเมือง</t>
  </si>
  <si>
    <t>097-2021275</t>
  </si>
  <si>
    <t>71-9729/71-9729ฉท</t>
  </si>
  <si>
    <t>PC-LCH24044</t>
  </si>
  <si>
    <t>ล้งไทเป่ายี่</t>
  </si>
  <si>
    <t>AMCU9378822</t>
  </si>
  <si>
    <t>GTD0845445</t>
  </si>
  <si>
    <t>L6420102</t>
  </si>
  <si>
    <t>วิชิต จงจอหอ</t>
  </si>
  <si>
    <t>065-9645180</t>
  </si>
  <si>
    <t>67-6657/67-9398กทม</t>
  </si>
  <si>
    <t>PC-LCH24045</t>
  </si>
  <si>
    <t>ล้งCM</t>
  </si>
  <si>
    <t>093-6632821</t>
  </si>
  <si>
    <t>GTD0845450</t>
  </si>
  <si>
    <t>SEKU9255480</t>
  </si>
  <si>
    <t>L6420219</t>
  </si>
  <si>
    <t>5/03/2024 - 18.00</t>
  </si>
  <si>
    <t>PC-LCH24046</t>
  </si>
  <si>
    <t>GTD0845447</t>
  </si>
  <si>
    <t>AMCU9308039</t>
  </si>
  <si>
    <t>L6420730</t>
  </si>
  <si>
    <t>เพชร ไพโรจน์</t>
  </si>
  <si>
    <t>71-1934/74-2941ปท</t>
  </si>
  <si>
    <t>PC-LCH24047</t>
  </si>
  <si>
    <t>GTD0845444</t>
  </si>
  <si>
    <t>CGMU5612568</t>
  </si>
  <si>
    <t>L6420152</t>
  </si>
  <si>
    <t>PC-LCH24048</t>
  </si>
  <si>
    <t>GTD0845443</t>
  </si>
  <si>
    <t>CGMU6920879</t>
  </si>
  <si>
    <t>L6420116</t>
  </si>
  <si>
    <t>72-6693/7395385ย</t>
  </si>
  <si>
    <t>PC-LCH24049</t>
  </si>
  <si>
    <t>035EX26825</t>
  </si>
  <si>
    <t>SEKU9110240</t>
  </si>
  <si>
    <t>WH21-194042</t>
  </si>
  <si>
    <t>WAN HAI</t>
  </si>
  <si>
    <t>5/01/2024 - 05.00</t>
  </si>
  <si>
    <t>WAN HAI 177 V.N032</t>
  </si>
  <si>
    <t>72-4648/72-46705ย</t>
  </si>
  <si>
    <t>PC-LCH24050</t>
  </si>
  <si>
    <t>035EX26824</t>
  </si>
  <si>
    <t>SEKU9157273</t>
  </si>
  <si>
    <t>WH21-194046</t>
  </si>
  <si>
    <t>PC-LCH24051</t>
  </si>
  <si>
    <t>2737020050</t>
  </si>
  <si>
    <t>FBIU5068547</t>
  </si>
  <si>
    <t>OOLJTP5052</t>
  </si>
  <si>
    <t>OOCL</t>
  </si>
  <si>
    <t>C1C2</t>
  </si>
  <si>
    <t>5/03/2024 - 05.00</t>
  </si>
  <si>
    <t>OOCL AUSTRALIA V. 251N</t>
  </si>
  <si>
    <t>PC-LCH24052</t>
  </si>
  <si>
    <t>2737021370</t>
  </si>
  <si>
    <t>SEGU9712999</t>
  </si>
  <si>
    <t>00LJTP4885</t>
  </si>
  <si>
    <t>เสถียร มวลคำลา</t>
  </si>
  <si>
    <t>096-2780543</t>
  </si>
  <si>
    <t>73-6239/72-6694ip</t>
  </si>
  <si>
    <t>PC-LCH24053</t>
  </si>
  <si>
    <t>2737022070</t>
  </si>
  <si>
    <t>OOLU6523264</t>
  </si>
  <si>
    <t>00LJTP4999</t>
  </si>
  <si>
    <t>71-1934/74-3841ปท</t>
  </si>
  <si>
    <t>PC-LCH24054</t>
  </si>
  <si>
    <t>2737020980</t>
  </si>
  <si>
    <t>SEGU9816843</t>
  </si>
  <si>
    <t>OOLJTP7384</t>
  </si>
  <si>
    <t>5/08/2024 - 05.00</t>
  </si>
  <si>
    <t>065-1139565</t>
  </si>
  <si>
    <t>PC-LCH24055</t>
  </si>
  <si>
    <t>2737020850</t>
  </si>
  <si>
    <t>OERU4223233</t>
  </si>
  <si>
    <t>OOLJTP4884</t>
  </si>
  <si>
    <t>098-8057897</t>
  </si>
  <si>
    <t>PC-LCH24056</t>
  </si>
  <si>
    <t>GTD0845766</t>
  </si>
  <si>
    <t>TTNU8689126</t>
  </si>
  <si>
    <t>L6423752</t>
  </si>
  <si>
    <t>5/13/2024 - 14.00</t>
  </si>
  <si>
    <t>XIN NAN SHA V.460N</t>
  </si>
  <si>
    <t>อฒิพงษ์ โพธิ์</t>
  </si>
  <si>
    <t>061-1189930</t>
  </si>
  <si>
    <t>74-8739ชบ</t>
  </si>
  <si>
    <t>PC-LCH24057</t>
  </si>
  <si>
    <t>GTD0845765</t>
  </si>
  <si>
    <t>BMOU9897909</t>
  </si>
  <si>
    <t>L6423751</t>
  </si>
  <si>
    <t>PC-LCH24058</t>
  </si>
  <si>
    <t>GTD0845773</t>
  </si>
  <si>
    <t>TTNU8326584</t>
  </si>
  <si>
    <t>L6423773</t>
  </si>
  <si>
    <t>5/11/2024 - 18.00</t>
  </si>
  <si>
    <t>TS GUANGZHOU V.24009N</t>
  </si>
  <si>
    <t>71-1934ปท/74-2941สป</t>
  </si>
  <si>
    <t>PC-LCH24059</t>
  </si>
  <si>
    <t>GTD0845771</t>
  </si>
  <si>
    <t>TTNU8680108</t>
  </si>
  <si>
    <t>L6423786</t>
  </si>
  <si>
    <t>5/08/2024 - 14.00</t>
  </si>
  <si>
    <t>วัลลภ สุพรรณเนียม</t>
  </si>
  <si>
    <t>098-3717534</t>
  </si>
  <si>
    <t>73-9772/62-0071กทม</t>
  </si>
  <si>
    <t>PC-LCH24060</t>
  </si>
  <si>
    <t>GTD0845772</t>
  </si>
  <si>
    <t>SEGU9166901</t>
  </si>
  <si>
    <t>L6422933</t>
  </si>
  <si>
    <t>PC-LCH24061</t>
  </si>
  <si>
    <t>GTD0845768</t>
  </si>
  <si>
    <t>CGMU5537741</t>
  </si>
  <si>
    <t>L6422922</t>
  </si>
  <si>
    <t>5/09/2024 - 14.00</t>
  </si>
  <si>
    <t>บุญชู นพเก้า</t>
  </si>
  <si>
    <t>061-2953364</t>
  </si>
  <si>
    <t xml:space="preserve"> 74-1722สป/79-5063กท</t>
  </si>
  <si>
    <t>PC-LCH24062</t>
  </si>
  <si>
    <t>PC-LCH24063</t>
  </si>
  <si>
    <t>GTD0844052</t>
  </si>
  <si>
    <t>AMCU9311752</t>
  </si>
  <si>
    <t>L0757559</t>
  </si>
  <si>
    <t>5/06/2024 - 18.00</t>
  </si>
  <si>
    <t>TS QINGDAO V.24004N</t>
  </si>
  <si>
    <t>PC-LCH24064</t>
  </si>
  <si>
    <t>ล้งไทยอริยะ</t>
  </si>
  <si>
    <t>087-360310</t>
  </si>
  <si>
    <t>CULVLCH2402937</t>
  </si>
  <si>
    <t>FBIU5168016</t>
  </si>
  <si>
    <t>U307888</t>
  </si>
  <si>
    <t>CU LINE</t>
  </si>
  <si>
    <t>B3</t>
  </si>
  <si>
    <t>INTERASIA FORWARD V.2417N</t>
  </si>
  <si>
    <t>PC-LCH24065</t>
  </si>
  <si>
    <t>CULVLCH2402938</t>
  </si>
  <si>
    <t>FBIU5168211</t>
  </si>
  <si>
    <t>U307887</t>
  </si>
  <si>
    <t>จรูญ  จันทะคาม</t>
  </si>
  <si>
    <t>PC-LCH24066</t>
  </si>
  <si>
    <t>GTD0845767</t>
  </si>
  <si>
    <t>SEKU9139773</t>
  </si>
  <si>
    <t>L0757615</t>
  </si>
  <si>
    <t>เมฆา จันสมุทร</t>
  </si>
  <si>
    <t>064-5307141</t>
  </si>
  <si>
    <t>68-4305/61-8619</t>
  </si>
  <si>
    <t>PC-LCH24067</t>
  </si>
  <si>
    <t>ล้งหยกไทย</t>
  </si>
  <si>
    <t xml:space="preserve"> 084-5226422</t>
  </si>
  <si>
    <t>GTD0845764</t>
  </si>
  <si>
    <t>FBIU5133200</t>
  </si>
  <si>
    <t>L6171833</t>
  </si>
  <si>
    <t>5/22/2024 - 23.00</t>
  </si>
  <si>
    <t>XIN WU HAN V.163N</t>
  </si>
  <si>
    <t>79-1716/61-8623</t>
  </si>
  <si>
    <t>PC-LCH24068</t>
  </si>
  <si>
    <t>GTD0845769</t>
  </si>
  <si>
    <t>FBIU5137083</t>
  </si>
  <si>
    <t>L0757661</t>
  </si>
  <si>
    <t>5/14/2024 - 17.00</t>
  </si>
  <si>
    <t>XIN RI ZHAO V.361N</t>
  </si>
  <si>
    <t>ธีรพงษ์ ตามบุญ</t>
  </si>
  <si>
    <t>086-4699254</t>
  </si>
  <si>
    <t>69-3173/61-8615</t>
  </si>
  <si>
    <t>PC-LCH24069</t>
  </si>
  <si>
    <t>GTD0845770</t>
  </si>
  <si>
    <t>TEMU9866590</t>
  </si>
  <si>
    <t>L0757697</t>
  </si>
  <si>
    <t>PC-LCH24070</t>
  </si>
  <si>
    <t>แผงเหนือชัย</t>
  </si>
  <si>
    <t>092-9376986</t>
  </si>
  <si>
    <t>SEKU9218466</t>
  </si>
  <si>
    <t>JJCLNSY400464</t>
  </si>
  <si>
    <t>SJJC261932</t>
  </si>
  <si>
    <t>5/10/2024 - 18.00</t>
  </si>
  <si>
    <t>INFINITY V.2416N</t>
  </si>
  <si>
    <t>74-2081/71-2262นบ</t>
  </si>
  <si>
    <t>PC-LCH24071</t>
  </si>
  <si>
    <t>FBIU5109203</t>
  </si>
  <si>
    <t>JJCLNSY400463</t>
  </si>
  <si>
    <t>SJJC261925</t>
  </si>
  <si>
    <t>PC-LCH24072</t>
  </si>
  <si>
    <t>FBIU5338513</t>
  </si>
  <si>
    <t>JJCLNSY400462</t>
  </si>
  <si>
    <t>SJJC261912</t>
  </si>
  <si>
    <t>มานิตย์ เชาวเจริญ</t>
  </si>
  <si>
    <t>083-4748291</t>
  </si>
  <si>
    <t>68-4442/73-8865กทม</t>
  </si>
  <si>
    <t>PC-LCH24073</t>
  </si>
  <si>
    <t>FBIU5337991</t>
  </si>
  <si>
    <t>JJCLNSY400461</t>
  </si>
  <si>
    <t>SJJC072921</t>
  </si>
  <si>
    <t>ดำรงค์ศักดิ์ แสงจำปา</t>
  </si>
  <si>
    <t>092-8458286</t>
  </si>
  <si>
    <t>68-6543/68-6546กทม</t>
  </si>
  <si>
    <t>PC-LCH24074</t>
  </si>
  <si>
    <t>FBIU5367234</t>
  </si>
  <si>
    <t>JJCLNSY400466</t>
  </si>
  <si>
    <t>SJJC057191</t>
  </si>
  <si>
    <t>PC-LCH24075</t>
  </si>
  <si>
    <t>FBIU5337311</t>
  </si>
  <si>
    <t>JJCLNSY400458</t>
  </si>
  <si>
    <t>SJJC072922</t>
  </si>
  <si>
    <t>5/13/2024 - 18.00</t>
  </si>
  <si>
    <t>ปฏิมาพงษ์ กลัดกระโทก</t>
  </si>
  <si>
    <t>73-8342/73-8323สป</t>
  </si>
  <si>
    <t>PC-LCH24076</t>
  </si>
  <si>
    <t>SEKU9036477</t>
  </si>
  <si>
    <t>JJCLNSY400457</t>
  </si>
  <si>
    <t>SEKU 9036477</t>
  </si>
  <si>
    <t>SJJC072934</t>
  </si>
  <si>
    <t>70-5143/73-5456สป</t>
  </si>
  <si>
    <t>PC-LCH24077</t>
  </si>
  <si>
    <t>SEKU9037283</t>
  </si>
  <si>
    <t>JJCLNSY400456</t>
  </si>
  <si>
    <t>SJJC057193</t>
  </si>
  <si>
    <t>72-4648/72-46705รย</t>
  </si>
  <si>
    <t>PC-LCH24078</t>
  </si>
  <si>
    <t>SEGU9721774</t>
  </si>
  <si>
    <t>JJCLNSY400459</t>
  </si>
  <si>
    <t>SJJC261934</t>
  </si>
  <si>
    <t>อดิศักดิ์ คอดตะคุ</t>
  </si>
  <si>
    <t>065-0810295</t>
  </si>
  <si>
    <t>72-8523/72-8528สบ</t>
  </si>
  <si>
    <t>PC-LCH24079</t>
  </si>
  <si>
    <t>FSCU5715027</t>
  </si>
  <si>
    <t>JJCLNSY400460</t>
  </si>
  <si>
    <t>SJJC262042</t>
  </si>
  <si>
    <t>พี่พร</t>
  </si>
  <si>
    <t>คมชาญ ทองปรอน</t>
  </si>
  <si>
    <t>093-3283283929</t>
  </si>
  <si>
    <t>70-3188/70-3189 เลย</t>
  </si>
  <si>
    <t>PC-LCH24080</t>
  </si>
  <si>
    <t>GTD0844055</t>
  </si>
  <si>
    <t>CGMU5532288</t>
  </si>
  <si>
    <t>L0757612</t>
  </si>
  <si>
    <t>5/16/2024 - 18.00</t>
  </si>
  <si>
    <t>TS JAKARTA V.24005N</t>
  </si>
  <si>
    <t>PC-LCH24081</t>
  </si>
  <si>
    <t>GTD0844056</t>
  </si>
  <si>
    <t>CGMU4991003</t>
  </si>
  <si>
    <t>L6171494</t>
  </si>
  <si>
    <t>5/17/2024 -20.00</t>
  </si>
  <si>
    <t>PC-LCH24082</t>
  </si>
  <si>
    <t>TH00954534</t>
  </si>
  <si>
    <t>FBIU5561511</t>
  </si>
  <si>
    <t>KMC588418</t>
  </si>
  <si>
    <t>KMTC</t>
  </si>
  <si>
    <t>5/19/2024 - 18.00</t>
  </si>
  <si>
    <t>TS XIAMEN V.24006N</t>
  </si>
  <si>
    <t>PC-LCH24083</t>
  </si>
  <si>
    <t>TH00954546</t>
  </si>
  <si>
    <t>SEGU9161366</t>
  </si>
  <si>
    <t>KMC588436</t>
  </si>
  <si>
    <t xml:space="preserve"> 098-9758577</t>
  </si>
  <si>
    <t>73-6239สป/70-6402นน</t>
  </si>
  <si>
    <t>PC-LCH24084</t>
  </si>
  <si>
    <t>TH00955376</t>
  </si>
  <si>
    <t>TEMU9533747</t>
  </si>
  <si>
    <t>KMC588580</t>
  </si>
  <si>
    <t>5/21/2024 - 18.00</t>
  </si>
  <si>
    <t>YM COOPERATION V.033N</t>
  </si>
  <si>
    <t>PC-LCH24085</t>
  </si>
  <si>
    <t>BKKA39812300</t>
  </si>
  <si>
    <t>SZLU9404515</t>
  </si>
  <si>
    <t>HMM230248541</t>
  </si>
  <si>
    <t>HMM</t>
  </si>
  <si>
    <t>5/23/2024 - 18.00</t>
  </si>
  <si>
    <t>INCEDA  V. 0038E</t>
  </si>
  <si>
    <t>PC-LCH24086</t>
  </si>
  <si>
    <t>ล้งหยูไป่หลง</t>
  </si>
  <si>
    <t>097-3090908</t>
  </si>
  <si>
    <t>COAU7250629230</t>
  </si>
  <si>
    <t>TEMU9556249</t>
  </si>
  <si>
    <t>27459013</t>
  </si>
  <si>
    <t>KEVEN</t>
  </si>
  <si>
    <t>COSCO</t>
  </si>
  <si>
    <t>5/25/2024 - 06.00</t>
  </si>
  <si>
    <t>PROGRESS C V.158N</t>
  </si>
  <si>
    <t>PC-LCH24087</t>
  </si>
  <si>
    <t>COAU7250713940</t>
  </si>
  <si>
    <t>TEMU9323669</t>
  </si>
  <si>
    <t>27455692</t>
  </si>
  <si>
    <t>5/30/2024 18.00</t>
  </si>
  <si>
    <t>XIN NAN SHA V.461N</t>
  </si>
  <si>
    <t>PC-LCH24088</t>
  </si>
  <si>
    <t>COAU7250714070</t>
  </si>
  <si>
    <t>SEGU9362545</t>
  </si>
  <si>
    <t>27455620</t>
  </si>
  <si>
    <t>PC-LCH24089</t>
  </si>
  <si>
    <t>GTD0852719</t>
  </si>
  <si>
    <t>TEMU9096457</t>
  </si>
  <si>
    <t>L6164949</t>
  </si>
  <si>
    <t>มนัส ก้านอินทร์</t>
  </si>
  <si>
    <t>064-5597783</t>
  </si>
  <si>
    <t>74-1415สป/74-1416สป</t>
  </si>
  <si>
    <t>PC-LCH24090</t>
  </si>
  <si>
    <t>PC-LCH24091</t>
  </si>
  <si>
    <t>PC-LCH24092</t>
  </si>
  <si>
    <t>PC-LCH24093</t>
  </si>
  <si>
    <t>PC-LCH24094</t>
  </si>
  <si>
    <t>PC-LCH24095</t>
  </si>
  <si>
    <t>PC-LCH24096</t>
  </si>
  <si>
    <t>PC-LCH24097</t>
  </si>
  <si>
    <t>PC-LCH24098</t>
  </si>
  <si>
    <t>PC-LCH24099</t>
  </si>
  <si>
    <t>PC-LCH24100</t>
  </si>
  <si>
    <t>PC-LCH24101</t>
  </si>
  <si>
    <t>PC-LCH24102</t>
  </si>
  <si>
    <t>PC-LCH24103</t>
  </si>
  <si>
    <t>PC-LCH24104</t>
  </si>
  <si>
    <t>PC-LCH24105</t>
  </si>
  <si>
    <t>PC-LCH24106</t>
  </si>
  <si>
    <t>PC-LCH24107</t>
  </si>
  <si>
    <t>PC-LCH24108</t>
  </si>
  <si>
    <t>PC-LCH24109</t>
  </si>
  <si>
    <t>PC-LCH24110</t>
  </si>
  <si>
    <t>PC-LCH24111</t>
  </si>
  <si>
    <t>PC-LCH24112</t>
  </si>
  <si>
    <t>PC-LCH24113</t>
  </si>
  <si>
    <t>PC-LCH24114</t>
  </si>
  <si>
    <t>PC-LCH24115</t>
  </si>
  <si>
    <t>PC-LCH24116</t>
  </si>
  <si>
    <t>Shipper</t>
  </si>
  <si>
    <t>SHIPPING INSTRUCTION</t>
  </si>
  <si>
    <t xml:space="preserve">TEL.: 053-650066 FAX: 053-650066 </t>
  </si>
  <si>
    <t>CHIANGRAI, 57150 THAILAND</t>
  </si>
  <si>
    <t>JOB NO.</t>
  </si>
  <si>
    <t>INVOICE / PACKING LIST</t>
  </si>
  <si>
    <t>COMMERCIAL CONTRACT</t>
  </si>
  <si>
    <t>INVOICE NO.:</t>
  </si>
  <si>
    <t>CONTRACT NO.:</t>
  </si>
  <si>
    <t>TEL.: 02-1681070, 098-3603888 EMAIL: KEVIN_HE@PORCHOEN.COM</t>
  </si>
  <si>
    <t>B/L TYPE:</t>
  </si>
  <si>
    <t>SEA WAYBILL</t>
  </si>
  <si>
    <t>DATE :</t>
  </si>
  <si>
    <t>CONSIGNEES:</t>
  </si>
  <si>
    <t>THE SELLER:</t>
  </si>
  <si>
    <t>Consignee</t>
  </si>
  <si>
    <t xml:space="preserve">ADD: ROOM 301, UNIT 4, BUILDING N0.1, </t>
  </si>
  <si>
    <t xml:space="preserve">COURTYARD 2, JIAOGEZHUANG STREET NANFAXIN TOWN, </t>
  </si>
  <si>
    <t>TEL.: 053-650066 FAX: 053-650066</t>
  </si>
  <si>
    <t>SHUNYI DISTRICT, BEIJING, CHINA, 101300.</t>
  </si>
  <si>
    <t>USCI：91110113MA003ATG6P</t>
  </si>
  <si>
    <t>Contact：Ms.Lv Huibin</t>
  </si>
  <si>
    <t>TEL: 0086-13911653846</t>
  </si>
  <si>
    <t>THE BUYER:</t>
  </si>
  <si>
    <t>NOTIFY PARTY:</t>
  </si>
  <si>
    <t>Notify Party (Only if Not Stated Above , Otherwise Leave Blank)</t>
  </si>
  <si>
    <t>BOOKING REF NO. :</t>
  </si>
  <si>
    <t>NO.</t>
  </si>
  <si>
    <t>COMMODITY</t>
  </si>
  <si>
    <t>NUMBER OF</t>
  </si>
  <si>
    <t>QUANTITY</t>
  </si>
  <si>
    <t>UNIT PRICE
(USD/KG)</t>
  </si>
  <si>
    <t>AMOUNT</t>
  </si>
  <si>
    <t>(KGS-NET) (+-10%)</t>
  </si>
  <si>
    <t>(USD)</t>
  </si>
  <si>
    <t>From</t>
  </si>
  <si>
    <t>MARK &amp; NO</t>
  </si>
  <si>
    <t>PACKING</t>
  </si>
  <si>
    <t>DESCRIPTION</t>
  </si>
  <si>
    <t>N.W</t>
  </si>
  <si>
    <t>G.W.</t>
  </si>
  <si>
    <t>UNIT PRICE</t>
  </si>
  <si>
    <t>LAEM CHABANG</t>
  </si>
  <si>
    <t>(KG)</t>
  </si>
  <si>
    <t>(USD/KG)</t>
  </si>
  <si>
    <t>Ocean Vessel / Voy No.</t>
  </si>
  <si>
    <t>Port Of Loading</t>
  </si>
  <si>
    <t>Port Of Discharge</t>
  </si>
  <si>
    <t>Final Destination (If on Carriage)</t>
  </si>
  <si>
    <t>Freight Payable At</t>
  </si>
  <si>
    <t>No. Of Original B/L Copies</t>
  </si>
  <si>
    <t>,CHINA</t>
  </si>
  <si>
    <t>Marks And Numbers</t>
  </si>
  <si>
    <t>Number And Kind Of Packages</t>
  </si>
  <si>
    <t>Description Of GoodS</t>
  </si>
  <si>
    <t>Gross Weight Measurement</t>
  </si>
  <si>
    <t>1X40'RE</t>
  </si>
  <si>
    <t>CY/CY </t>
  </si>
  <si>
    <t>KGM.</t>
  </si>
  <si>
    <t>SHIPPER'S LOAD &amp; COUNT</t>
  </si>
  <si>
    <t xml:space="preserve">SEAL NO.: </t>
  </si>
  <si>
    <t xml:space="preserve">1 X 40'RE FCL CONTAINERS STC : </t>
  </si>
  <si>
    <t>TOTAL</t>
  </si>
  <si>
    <t>MARKS</t>
  </si>
  <si>
    <t>COUNTRY OF ORIGIN THAILAND</t>
  </si>
  <si>
    <t xml:space="preserve">VESSEL NAME: </t>
  </si>
  <si>
    <t>C.I.F.</t>
  </si>
  <si>
    <t>TEMP.</t>
  </si>
  <si>
    <t>C.</t>
  </si>
  <si>
    <t>ETD :</t>
  </si>
  <si>
    <t>FROM LAEM CHABANG THAILAND TO</t>
  </si>
  <si>
    <t>VENT</t>
  </si>
  <si>
    <t>F.O.B.</t>
  </si>
  <si>
    <t>CONTAINER NO.</t>
  </si>
  <si>
    <t>SHIPPER'S STOW/LOAD/COUNT/SEAL </t>
  </si>
  <si>
    <t>TOTAL N.W.</t>
  </si>
  <si>
    <t>KGM</t>
  </si>
  <si>
    <t xml:space="preserve">FCL/FCL CY/CY  FREIGHT PREPAID ALL DESTINATION DELIVERY </t>
  </si>
  <si>
    <t>TOTAL G.W.</t>
  </si>
  <si>
    <t>DEMURRAGES DETENTION CHARGES ON CONSIGNEE'S ACCOUNT</t>
  </si>
  <si>
    <t xml:space="preserve">Particulars of goods are those declared by shippers but not admitted by the Shipowner </t>
  </si>
  <si>
    <t>who makes no admission as to the kind and description of the goods</t>
  </si>
  <si>
    <t>Total Number Of Packages :</t>
  </si>
  <si>
    <t>(Please do not use this space)</t>
  </si>
  <si>
    <t>Remarks</t>
  </si>
  <si>
    <t>Applicable only when document used as a through B/Lading</t>
  </si>
  <si>
    <t>Signature ………………………………………</t>
  </si>
  <si>
    <t>Local Vessel</t>
  </si>
  <si>
    <t>UNIT PRICE
(CNY/KG)</t>
  </si>
  <si>
    <t>(CNY)</t>
  </si>
  <si>
    <t>(CNY/KG)</t>
  </si>
  <si>
    <t>CIF</t>
  </si>
  <si>
    <t>FOB</t>
  </si>
  <si>
    <t>UNIT PRICE
(THB/KG)</t>
  </si>
  <si>
    <t>(THB/KG)</t>
  </si>
  <si>
    <t>(THB)</t>
  </si>
  <si>
    <t>BN-ZHANGZONG</t>
  </si>
  <si>
    <t>ล้งเอสเค(สอยดาว)</t>
  </si>
  <si>
    <t>082-4857309</t>
  </si>
  <si>
    <t>SZLU9368362</t>
  </si>
  <si>
    <t>TH00992619</t>
  </si>
  <si>
    <t>KMC606313</t>
  </si>
  <si>
    <t>A0</t>
  </si>
  <si>
    <t>23/10/2024 - 14.00</t>
  </si>
  <si>
    <t>KMTC GWANGYANG V.2410N</t>
  </si>
  <si>
    <t>BC</t>
  </si>
  <si>
    <t>ธนกร เอมสมบูรณ์</t>
  </si>
  <si>
    <t>081-8648542</t>
  </si>
  <si>
    <t>71-1348/71-1349ชร(BC)</t>
  </si>
  <si>
    <t>PER</t>
  </si>
  <si>
    <t>SEGU9801144</t>
  </si>
  <si>
    <t>320BK4028251</t>
  </si>
  <si>
    <t>TSB2673963</t>
  </si>
  <si>
    <t>TS LINES</t>
  </si>
  <si>
    <t>วันชนะ เดียมขุนทด</t>
  </si>
  <si>
    <t>080-3980633</t>
  </si>
  <si>
    <t>71-0324/71-0620ชร(BC)</t>
  </si>
  <si>
    <t>27/10/2024 - 23.59</t>
  </si>
  <si>
    <t>'BN-ZHANGZONG</t>
  </si>
  <si>
    <t>FSCU5789652</t>
  </si>
  <si>
    <t>A15EX12428</t>
  </si>
  <si>
    <t>IAAG417628</t>
  </si>
  <si>
    <t>INTERASIA</t>
  </si>
  <si>
    <t>31/10/2024 - 11.00</t>
  </si>
  <si>
    <t>CHANCE V.2442N</t>
  </si>
  <si>
    <t>พิพัฒน์ พรมสิทธิ์</t>
  </si>
  <si>
    <t>094-7164562</t>
  </si>
  <si>
    <t>71-0142/71-0626ชร(BC)</t>
  </si>
  <si>
    <t>10%</t>
  </si>
  <si>
    <t>SZLU6029621</t>
  </si>
  <si>
    <t>320BK4028619</t>
  </si>
  <si>
    <t>TSB2661652</t>
  </si>
  <si>
    <t>02/11/2024 - 11.00</t>
  </si>
  <si>
    <t>TS MAWEI V.24026N</t>
  </si>
  <si>
    <t>ธรณิศ ชัยชาย</t>
  </si>
  <si>
    <t>064-6013070</t>
  </si>
  <si>
    <t>71-1342/71-1343ชร(BC)</t>
  </si>
  <si>
    <t>TS HAKATA V.24018N</t>
  </si>
  <si>
    <t>FSCU5978445</t>
  </si>
  <si>
    <t>320BK4028761</t>
  </si>
  <si>
    <t>TSB2661250</t>
  </si>
  <si>
    <t>สุวัฒ บุญมี</t>
  </si>
  <si>
    <t>098-5139845</t>
  </si>
  <si>
    <t>71-1162/71-0800ชร(BC)</t>
  </si>
  <si>
    <t>GTD0892527</t>
  </si>
  <si>
    <t>TTNU8244953</t>
  </si>
  <si>
    <t>R7721374</t>
  </si>
  <si>
    <t>CMA</t>
  </si>
  <si>
    <t>LALIT BHUM V.013N</t>
  </si>
  <si>
    <t>07/11/2024 - 23.59</t>
  </si>
  <si>
    <t>SCS</t>
  </si>
  <si>
    <t>BKKEEA759800</t>
  </si>
  <si>
    <t>THBI69417</t>
  </si>
  <si>
    <t>ONE</t>
  </si>
  <si>
    <t>061-0262185</t>
  </si>
  <si>
    <t>71-0574/71-0575ชร(BC)</t>
  </si>
  <si>
    <t>050401384010</t>
  </si>
  <si>
    <t>EMCUWZ6443</t>
  </si>
  <si>
    <t>GREEN CELEBRITY V.0271-091A</t>
  </si>
  <si>
    <t>089-5392692</t>
  </si>
  <si>
    <t>จินดา พรมมี</t>
  </si>
  <si>
    <t>70-9313/70-9314 ชร (BC)</t>
  </si>
  <si>
    <t>EMCU5352233</t>
  </si>
  <si>
    <t>OTPU6263788</t>
  </si>
  <si>
    <t>FSCU5874878</t>
  </si>
  <si>
    <t>320BK4029236</t>
  </si>
  <si>
    <t>TSB2663229</t>
  </si>
  <si>
    <t>TS HAKATA V.24019N</t>
  </si>
  <si>
    <t>10/11/2024 - 23.59</t>
  </si>
  <si>
    <t>ประสิทธิ์ จันคำ</t>
  </si>
  <si>
    <t xml:space="preserve"> 098-9780060/066-1017220</t>
  </si>
  <si>
    <t>71-1161/71-0795ชร(BC)</t>
  </si>
  <si>
    <t>10/11/2024 - 11.59</t>
  </si>
  <si>
    <t>TH00997381</t>
  </si>
  <si>
    <t>BMOU9241968</t>
  </si>
  <si>
    <t>KMC601160</t>
  </si>
  <si>
    <t>12/11/2024 - 23.59</t>
  </si>
  <si>
    <t>บรรพต ชัยนนท์</t>
  </si>
  <si>
    <t xml:space="preserve"> 062-3049727</t>
  </si>
  <si>
    <t xml:space="preserve"> 71-0570/71-0573ชร(BC)</t>
  </si>
  <si>
    <t>MAKHA BHUM V.098N</t>
  </si>
  <si>
    <t>14/11/2024 - 23.59</t>
  </si>
  <si>
    <t>เจริญ ทองเจริญ</t>
  </si>
  <si>
    <t>092-5838351/093-2931653</t>
  </si>
  <si>
    <t>71-0582/71-0583ชร(BC)</t>
  </si>
  <si>
    <t>SEGU9525684</t>
  </si>
  <si>
    <t>GTD0895396</t>
  </si>
  <si>
    <t>R7715587</t>
  </si>
  <si>
    <t>อนันต์ เดียมขุนทด</t>
  </si>
  <si>
    <t>BKKEEN568300</t>
  </si>
  <si>
    <t>SEGU9900872</t>
  </si>
  <si>
    <t>THBI46816</t>
  </si>
  <si>
    <t>19/11/2024 - 23.59</t>
  </si>
  <si>
    <t>YM COOPERATION 039N</t>
  </si>
  <si>
    <t xml:space="preserve">ดุสิต รุจิวรรณ </t>
  </si>
  <si>
    <t>70-9369/70-9370 ชร</t>
  </si>
  <si>
    <t xml:space="preserve">081-1024043 </t>
  </si>
  <si>
    <t>ล้งหยงเฉิน(สอยดาว)</t>
  </si>
  <si>
    <t>GTD0895144</t>
  </si>
  <si>
    <t>CGMU5189899</t>
  </si>
  <si>
    <t>R7720838</t>
  </si>
  <si>
    <t>20/11/2024 23:59</t>
  </si>
  <si>
    <t>LALIT BHUM 014N</t>
  </si>
  <si>
    <t>ชัชวาล ศอกจะบก</t>
  </si>
  <si>
    <t>064-0953634/098-8296938</t>
  </si>
  <si>
    <t>71-0578/71-0624ชร</t>
  </si>
  <si>
    <t>SITC MAKASSAR 2417N</t>
  </si>
  <si>
    <t>BKKEFB937800</t>
  </si>
  <si>
    <t>FRESH GINGER</t>
  </si>
  <si>
    <t>18/11/2024 15:00</t>
  </si>
  <si>
    <t>KARACHI, PAKISTAN</t>
  </si>
  <si>
    <t>X-PRESS ANGLESEY 24034W</t>
  </si>
  <si>
    <t>ไพร อ่อนสอน</t>
  </si>
  <si>
    <t>087-1475240</t>
  </si>
  <si>
    <t>71-1157/71-0798ชร</t>
  </si>
  <si>
    <t>น่าน</t>
  </si>
  <si>
    <t>KMTC GWANGYANG 2411N</t>
  </si>
  <si>
    <t>HONGJIE</t>
  </si>
  <si>
    <t>GW</t>
  </si>
  <si>
    <t>NW</t>
  </si>
  <si>
    <t>BAGS</t>
  </si>
  <si>
    <t>QINGXIA INTERNATIONAL (SMC-PRIVATE) LIMITED</t>
  </si>
  <si>
    <t>ONEU9345951</t>
  </si>
  <si>
    <t>THBI46849</t>
  </si>
  <si>
    <t>ล้งเจ้พรทิพย์</t>
  </si>
  <si>
    <t>CRSU6114959</t>
  </si>
  <si>
    <t>GTD0895369</t>
  </si>
  <si>
    <t>27/11/2024 23:59</t>
  </si>
  <si>
    <t>MAKHA BHUM 099N</t>
  </si>
  <si>
    <t>จตุรงค์  อินต๊ะจัง</t>
  </si>
  <si>
    <t>062-2835359</t>
  </si>
  <si>
    <t>71-0325/70-8144ชร</t>
  </si>
  <si>
    <t>R7585721</t>
  </si>
  <si>
    <t>AMCU9324678</t>
  </si>
  <si>
    <t>GTD0896134</t>
  </si>
  <si>
    <t>R7638166</t>
  </si>
  <si>
    <t>28/11/2024 14:00</t>
  </si>
  <si>
    <t>สมศักดิ์ เหลารัตร</t>
  </si>
  <si>
    <t>063-7865778</t>
  </si>
  <si>
    <t>71-1922/71-1923ชร</t>
  </si>
  <si>
    <t>CGMU5464711</t>
  </si>
  <si>
    <t>GTD0899765</t>
  </si>
  <si>
    <t>R7638390</t>
  </si>
  <si>
    <t>04/12/2024 16.00</t>
  </si>
  <si>
    <t>LALIT BHUM 015N</t>
  </si>
  <si>
    <t>ปริญญา รักษากุล</t>
  </si>
  <si>
    <t>061-5904080</t>
  </si>
  <si>
    <t>71-2034/71-2036ชร</t>
  </si>
  <si>
    <t>CGMU5388519</t>
  </si>
  <si>
    <t>GTD0896135</t>
  </si>
  <si>
    <t>R7638382</t>
  </si>
  <si>
    <t>วัชระ จันทะเกตุ</t>
  </si>
  <si>
    <t>084-7263667/064-0599056</t>
  </si>
  <si>
    <t>71-0580/71-0581ชร</t>
  </si>
  <si>
    <t>FSCU5791829</t>
  </si>
  <si>
    <t>A15EX13782</t>
  </si>
  <si>
    <t>IAAG417545</t>
  </si>
  <si>
    <t>05/12/2024 11.00</t>
  </si>
  <si>
    <t>CUL HAIPHONG 2448N</t>
  </si>
  <si>
    <t>ระมูล ไยดี</t>
  </si>
  <si>
    <t>0843467484</t>
  </si>
  <si>
    <t>71-1920/71-1921</t>
  </si>
  <si>
    <t>GTD0899771</t>
  </si>
  <si>
    <t>11/12/2024 12.00</t>
  </si>
  <si>
    <t>MAKHA BHUM 100N</t>
  </si>
  <si>
    <t>สุระ พลีใส</t>
  </si>
  <si>
    <t>090-8897206</t>
  </si>
  <si>
    <t>71-1912/71-1913ชร</t>
  </si>
  <si>
    <t>GTD0899727</t>
  </si>
  <si>
    <t>092-6580845</t>
  </si>
  <si>
    <t>70-9367/71-0618ชร</t>
  </si>
  <si>
    <t>สุรพงษ์ สาวงนาม</t>
  </si>
  <si>
    <t>TRIU8889875</t>
  </si>
  <si>
    <t>R7643595</t>
  </si>
  <si>
    <t>CGMU5338462</t>
  </si>
  <si>
    <t>R7643572</t>
  </si>
  <si>
    <t>SEGU9387034</t>
  </si>
  <si>
    <t>TH01004793</t>
  </si>
  <si>
    <t>KMC591441</t>
  </si>
  <si>
    <t>13/12/2024 00:00</t>
  </si>
  <si>
    <t>SITC XINGDE 2425N</t>
  </si>
  <si>
    <t>วินัย โพธิไพร</t>
  </si>
  <si>
    <t>084-3752061</t>
  </si>
  <si>
    <t>71-0576/71-0577ชร</t>
  </si>
  <si>
    <t>CGMU5061418</t>
  </si>
  <si>
    <t>GTD0901843</t>
  </si>
  <si>
    <t>R7637758</t>
  </si>
  <si>
    <t>18/12/2024 16:00</t>
  </si>
  <si>
    <t>LALIT BHUM 016N</t>
  </si>
  <si>
    <t>CGMU5362978</t>
  </si>
  <si>
    <t>GTD0901845</t>
  </si>
  <si>
    <t>R7637846</t>
  </si>
  <si>
    <t>สมพงษ์ ยี่สี</t>
  </si>
  <si>
    <t>092-6816775/062-1593259</t>
  </si>
  <si>
    <t>71-1344/71-1345ชร</t>
  </si>
  <si>
    <t>TRIU8735777</t>
  </si>
  <si>
    <t>BKKEGS341600</t>
  </si>
  <si>
    <t>THBJ49521</t>
  </si>
  <si>
    <t>22/12/2024 23:59</t>
  </si>
  <si>
    <t>YM COOPERATION 040N</t>
  </si>
  <si>
    <t>TLLU1067026</t>
  </si>
  <si>
    <t>R7639484</t>
  </si>
  <si>
    <t>GTD0901837</t>
  </si>
  <si>
    <t>25/12/2024 20:00</t>
  </si>
  <si>
    <t>MAKHA BHUM 101N</t>
  </si>
  <si>
    <t>เอกลักษณ์ ทองสุข</t>
  </si>
  <si>
    <t>063-1405632</t>
  </si>
  <si>
    <t>71-0502/71-0503ชร</t>
  </si>
  <si>
    <t>GTD0901844</t>
  </si>
  <si>
    <t>ประทวน สนิพันธ์</t>
  </si>
  <si>
    <t>082-4870909</t>
  </si>
  <si>
    <t>71-0474/71-0475ชร</t>
  </si>
  <si>
    <t>CGMU5478314</t>
  </si>
  <si>
    <t>R7639594</t>
  </si>
  <si>
    <t>DYY TRADING INTL CO., LTD.</t>
  </si>
  <si>
    <t>101 MOO 7 WIANG SUBDISTRICT, CHIANGSAEN DISTRICT CHIANGRAI 57150 THAILAND</t>
  </si>
  <si>
    <t>DYY-LCH24001</t>
  </si>
  <si>
    <t>DYY-LCH24002</t>
  </si>
  <si>
    <t>SEGU9175694</t>
  </si>
  <si>
    <t>THBI60082</t>
  </si>
  <si>
    <t>BKKEGJ819700</t>
  </si>
  <si>
    <t>SEASKY</t>
  </si>
  <si>
    <t>71-0580/71-0581</t>
  </si>
  <si>
    <t>SHEKOU, GUANGDONG</t>
  </si>
  <si>
    <t>SEGU9307487</t>
  </si>
  <si>
    <t>BKKEGJ823900</t>
  </si>
  <si>
    <t>THBI60084</t>
  </si>
  <si>
    <t>ST SUCCESS 026N</t>
  </si>
  <si>
    <t>วุฒิชัย วารมนตรี</t>
  </si>
  <si>
    <t>064-0170668</t>
  </si>
  <si>
    <t>70-9315/71-0619ชร</t>
  </si>
  <si>
    <t>31/12/2024 09.00</t>
  </si>
  <si>
    <t>1/1/2025 (NOT COMFIRM)</t>
  </si>
  <si>
    <t>101 MOO 7 WIANG SUBDISTRICT, CHIANGSAEN DISTRICT</t>
  </si>
  <si>
    <t>TAX ID: 0115563021946</t>
  </si>
  <si>
    <t>DYY-LCH24003</t>
  </si>
  <si>
    <t>DYY-LCH24004</t>
  </si>
  <si>
    <t>KKFU6774609</t>
  </si>
  <si>
    <t>THBI60065</t>
  </si>
  <si>
    <t>BKKEGP864600</t>
  </si>
  <si>
    <t>KMTC NINGBO 2412N</t>
  </si>
  <si>
    <t>70-9313/70-9314ชร</t>
  </si>
  <si>
    <t>SEGU9170115</t>
  </si>
  <si>
    <t>BKKEGP866800</t>
  </si>
  <si>
    <t>THBI60063</t>
  </si>
  <si>
    <t>วรเมธ บุญวิลัย</t>
  </si>
  <si>
    <t>080-1535588/081-3163821</t>
  </si>
  <si>
    <t>71-1350/71-1351ชร</t>
  </si>
  <si>
    <t>02/01/2025 17.00</t>
  </si>
  <si>
    <t>30/12/2024</t>
  </si>
  <si>
    <t>31/12/2024</t>
  </si>
  <si>
    <t>DYY-LCH25001</t>
  </si>
  <si>
    <t>DYY-LCH25002</t>
  </si>
  <si>
    <t>DYY-LCH25003</t>
  </si>
  <si>
    <t>DYY-LCH25004</t>
  </si>
  <si>
    <t>DYY-LCH25005</t>
  </si>
  <si>
    <t>DYY-LCH25006</t>
  </si>
  <si>
    <t>DYY-LCH25007</t>
  </si>
  <si>
    <t>DYY-LCH25008</t>
  </si>
  <si>
    <t>DYY-LCH25009</t>
  </si>
  <si>
    <t>DYY-LCH25010</t>
  </si>
  <si>
    <t>DYY-LCH25011</t>
  </si>
  <si>
    <t>FSCU5806723</t>
  </si>
  <si>
    <t>THBJ22472</t>
  </si>
  <si>
    <t>BKKEGP867900</t>
  </si>
  <si>
    <t>10/01/2025 13.00</t>
  </si>
  <si>
    <t>SITC MAKASSAR 2501N</t>
  </si>
  <si>
    <t>อมร ศรีชุม</t>
  </si>
  <si>
    <t>081-3456904</t>
  </si>
  <si>
    <t>71-1165/71-0799ชร</t>
  </si>
  <si>
    <t>TEMU9570484</t>
  </si>
  <si>
    <t>THBJ22493</t>
  </si>
  <si>
    <t>BKKEGP870300</t>
  </si>
  <si>
    <t>081-3163821/080-1535588</t>
  </si>
  <si>
    <t>FSCU5830015</t>
  </si>
  <si>
    <t>BKKF10624900</t>
  </si>
  <si>
    <t>THBJ22838</t>
  </si>
  <si>
    <t>11/01/25 23.59</t>
  </si>
  <si>
    <t>ชิณวรรณ ทองสม</t>
  </si>
  <si>
    <t>062-3646094</t>
  </si>
  <si>
    <t>71-1354/71-1355ชร</t>
  </si>
  <si>
    <t>SZLU9291110</t>
  </si>
  <si>
    <t>IAAH225183</t>
  </si>
  <si>
    <t>A15FX00143</t>
  </si>
  <si>
    <t>15/01/25 15.00</t>
  </si>
  <si>
    <t>IAL 001 V.N187</t>
  </si>
  <si>
    <t>094-7164562/096-0060691</t>
  </si>
  <si>
    <t>71-1910/71-1911ชร</t>
  </si>
  <si>
    <t>FSCU5774082</t>
  </si>
  <si>
    <t>IAAH225185</t>
  </si>
  <si>
    <t>A15FX00144</t>
  </si>
  <si>
    <t>พงศ์ศักดา ประสานตรี</t>
  </si>
  <si>
    <t>064-2272406</t>
  </si>
  <si>
    <t>71-1157/71-0625ชร</t>
  </si>
  <si>
    <t>16/01/25 15.00</t>
  </si>
  <si>
    <t>KKFU6733641</t>
  </si>
  <si>
    <t>THBJ22981</t>
  </si>
  <si>
    <t>BKKEGP926500</t>
  </si>
  <si>
    <t>KKFU6781300</t>
  </si>
  <si>
    <t>THBJ22977</t>
  </si>
  <si>
    <t>BKKEGP897500</t>
  </si>
  <si>
    <t>20/01/25 01.00</t>
  </si>
  <si>
    <t>YM COOPERATION 041N</t>
  </si>
  <si>
    <t>พี่เล็ก</t>
  </si>
  <si>
    <t xml:space="preserve"> นาย วัชเรศร พลภักดี </t>
  </si>
  <si>
    <t>นาย พงศกร จันหอม</t>
  </si>
  <si>
    <t>0634307775</t>
  </si>
  <si>
    <t>73-0503/73-2918สป</t>
  </si>
  <si>
    <t>0807910768</t>
  </si>
  <si>
    <t>73-0504/73-0509สป</t>
  </si>
  <si>
    <t>BKKEGP941900</t>
  </si>
  <si>
    <t>SEGU9304322</t>
  </si>
  <si>
    <t>THBJ22970</t>
  </si>
  <si>
    <t>มนตรี  เกตุสวาสดิ์</t>
  </si>
  <si>
    <t>099-5637455</t>
  </si>
  <si>
    <t>70-8090/70-7237รบ</t>
  </si>
  <si>
    <t>BKKF14935400</t>
  </si>
  <si>
    <t>FSCU5725895</t>
  </si>
  <si>
    <t>THBJ64233</t>
  </si>
  <si>
    <t>SITC MAKASSAR 2502N</t>
  </si>
  <si>
    <t>12/02/25 03.00</t>
  </si>
  <si>
    <t>Mr.Li</t>
  </si>
  <si>
    <t>ล้งคุณเจนฟรุต(พิจิตร)</t>
  </si>
  <si>
    <t>089-0345950</t>
  </si>
  <si>
    <t>ONEU9282133</t>
  </si>
  <si>
    <t>BKKF68571900</t>
  </si>
  <si>
    <t>THBJ68909</t>
  </si>
  <si>
    <t>1/03/2025  17.00</t>
  </si>
  <si>
    <t>SHANGHAI</t>
  </si>
  <si>
    <t>TS QINGDAO 25003N</t>
  </si>
  <si>
    <t>พิจิตร</t>
  </si>
  <si>
    <t>FRESH POMELO</t>
  </si>
  <si>
    <t>DYY-LCH25012</t>
  </si>
  <si>
    <t>DYY-LCH25013</t>
  </si>
  <si>
    <t>DYY-LCH25014</t>
  </si>
  <si>
    <t>DYY-LCH25015</t>
  </si>
  <si>
    <t>DYY-LCH25016</t>
  </si>
  <si>
    <t>DYY-LCH25017</t>
  </si>
  <si>
    <t>DYY-LCH25018</t>
  </si>
  <si>
    <t>DYY-LCH25019</t>
  </si>
  <si>
    <t>DYY-LCH25020</t>
  </si>
  <si>
    <t>EMCU5472584</t>
  </si>
  <si>
    <t>050500291312</t>
  </si>
  <si>
    <t>EMCMGT8524</t>
  </si>
  <si>
    <t>'Mr.Li</t>
  </si>
  <si>
    <t>EVERGREEN</t>
  </si>
  <si>
    <t>สุรพล รายพิมาย</t>
  </si>
  <si>
    <t>063-1293701</t>
  </si>
  <si>
    <t>71-1356/71-1357ชร</t>
  </si>
  <si>
    <t>MTT PELEPAS 0290-010B</t>
  </si>
  <si>
    <t>3/23/2025  15:00</t>
  </si>
  <si>
    <t>GFM</t>
  </si>
  <si>
    <t>EMCU5453706</t>
  </si>
  <si>
    <t>EMCMGT8974</t>
  </si>
  <si>
    <t>050500296810</t>
  </si>
  <si>
    <t>064-0953634</t>
  </si>
  <si>
    <t>ราชบุรี</t>
  </si>
  <si>
    <t>สมุทรสาคร</t>
  </si>
  <si>
    <t>COAU7258170440</t>
  </si>
  <si>
    <t>ล้งPEA (ป.เจริญโคโค่นัท)</t>
  </si>
  <si>
    <t>085-4053797</t>
  </si>
  <si>
    <t>SHANGHAI GOODFARMER BANANA CO.,LTD.</t>
  </si>
  <si>
    <t>3/24/2025  13:00</t>
  </si>
  <si>
    <t>GOODFARMER</t>
  </si>
  <si>
    <t>ล้งK Fresh</t>
  </si>
  <si>
    <t>089-8804478</t>
  </si>
  <si>
    <t>TEMU9326971</t>
  </si>
  <si>
    <t>30325260</t>
  </si>
  <si>
    <t>086-0222804</t>
  </si>
  <si>
    <t>วีระชัย ฝ่ายสงฆ์</t>
  </si>
  <si>
    <t>73-0606/73-0607สป</t>
  </si>
  <si>
    <t>B4</t>
  </si>
  <si>
    <t>3/23/2025 17:00</t>
  </si>
  <si>
    <t>INGENUITY 097N</t>
  </si>
  <si>
    <t>BAIGUOYUAN</t>
  </si>
  <si>
    <t>FRESH YOUNG COCONUT</t>
  </si>
  <si>
    <t>SHENZHEN YUANZHILV TRADING CO., LTD.</t>
  </si>
  <si>
    <t>โรงงานวาโย</t>
  </si>
  <si>
    <t>086-0102723</t>
  </si>
  <si>
    <t>320BK5004798</t>
  </si>
  <si>
    <t>3/25/2025 11:59</t>
  </si>
  <si>
    <t>TS KAOHSIUNG 25005N</t>
  </si>
  <si>
    <t>สุริยัน พรรณราย</t>
  </si>
  <si>
    <t>084-2864717</t>
  </si>
  <si>
    <t>71-0568/71-0569ชร</t>
  </si>
  <si>
    <t>FSCU5843033</t>
  </si>
  <si>
    <t>TSB2743527</t>
  </si>
  <si>
    <t>320BK5005134</t>
  </si>
  <si>
    <t>3/28/2025 23:59</t>
  </si>
  <si>
    <t>AVIOS 2505N</t>
  </si>
  <si>
    <t>SZLU6025673</t>
  </si>
  <si>
    <t>TSB2672785</t>
  </si>
  <si>
    <t>050500327154</t>
  </si>
  <si>
    <t>EVER BEADY 0789-094N</t>
  </si>
  <si>
    <t>XINGANG</t>
  </si>
  <si>
    <t xml:space="preserve">ล้ง AEK </t>
  </si>
  <si>
    <t>086-4119949</t>
  </si>
  <si>
    <t>320BK5005207</t>
  </si>
  <si>
    <t>3/31/2025  17:00</t>
  </si>
  <si>
    <t>LITTLE WARRIOR 014N</t>
  </si>
  <si>
    <t>XIGEYEZI</t>
  </si>
  <si>
    <t>EMCU5375579</t>
  </si>
  <si>
    <t>EMCMGW5634</t>
  </si>
  <si>
    <t>SEGU9801695</t>
  </si>
  <si>
    <t>71-1344ชร/71-1345ชร</t>
  </si>
  <si>
    <t>4/3/2025  22:00</t>
  </si>
  <si>
    <t>EMCU5377210</t>
  </si>
  <si>
    <t>EMCMGW7354</t>
  </si>
  <si>
    <t>050500349689</t>
  </si>
  <si>
    <t>04/04/2025 14:00 PM</t>
  </si>
  <si>
    <t>GREEN CELEBRITY 0292-096B</t>
  </si>
  <si>
    <t>นัตพงษ์ ภูคำใบ</t>
  </si>
  <si>
    <t>081-1621762</t>
  </si>
  <si>
    <t>71-0133/71-0622ชร</t>
  </si>
  <si>
    <t>TSB2577065</t>
  </si>
  <si>
    <t>7/04/2025 23:59</t>
  </si>
  <si>
    <t xml:space="preserve">TS NAGOYA 25005N </t>
  </si>
  <si>
    <t>SEGU9804483</t>
  </si>
  <si>
    <t>TSB2672866</t>
  </si>
  <si>
    <t>320BK5005896</t>
  </si>
  <si>
    <t>71-1912ชร/71-1913ชร</t>
  </si>
  <si>
    <t>DYY-LCH25021</t>
  </si>
  <si>
    <t>DYY-LCH25022</t>
  </si>
  <si>
    <t>DYY-LCH25023</t>
  </si>
  <si>
    <t>DYY-LCH25024</t>
  </si>
  <si>
    <t>DYY-LCH25025</t>
  </si>
  <si>
    <t>DYY-LCH25026</t>
  </si>
  <si>
    <t>DYY-LCH25027</t>
  </si>
  <si>
    <t>DYY-LCH25028</t>
  </si>
  <si>
    <t>DYY-LCH25029</t>
  </si>
  <si>
    <t>DYY-LCH25030</t>
  </si>
  <si>
    <t>DYY-LCH25031</t>
  </si>
  <si>
    <t>DYY-LCH25032</t>
  </si>
  <si>
    <t>DYY-LCH25033</t>
  </si>
  <si>
    <t>DYY-LCH25034</t>
  </si>
  <si>
    <t>DYY-LCH25035</t>
  </si>
  <si>
    <t>DYY-LCH25036</t>
  </si>
  <si>
    <t>DYY-LCH25037</t>
  </si>
  <si>
    <t>DYY-LCH25038</t>
  </si>
  <si>
    <t>DYY-LCH25039</t>
  </si>
  <si>
    <t>DYY-LCH25040</t>
  </si>
  <si>
    <t>DYY-LCH25041</t>
  </si>
  <si>
    <t>320BK5006875</t>
  </si>
  <si>
    <t>12/04/2025 23:59</t>
  </si>
  <si>
    <t>TS KOBE 25007N</t>
  </si>
  <si>
    <t>050500373865</t>
  </si>
  <si>
    <t>11/04/2025 22:00</t>
  </si>
  <si>
    <t>EVER WEB 0293-010B</t>
  </si>
  <si>
    <t>SEGU9790055</t>
  </si>
  <si>
    <t>TSB2672948</t>
  </si>
  <si>
    <t>เฉลิมชัย ภักดี</t>
  </si>
  <si>
    <t>062-443-0748</t>
  </si>
  <si>
    <t>66-1043/66-1045กทม</t>
  </si>
  <si>
    <t>EMCU5436740</t>
  </si>
  <si>
    <t>EMCUTH3743</t>
  </si>
  <si>
    <t>จิตรกร น้อยลา</t>
  </si>
  <si>
    <t>093-7685684</t>
  </si>
  <si>
    <t>73-9815สป/70-0402มุกดาหาร</t>
  </si>
  <si>
    <t xml:space="preserve">ล้ง FK </t>
  </si>
  <si>
    <t>SITRLCSK452424</t>
  </si>
  <si>
    <t>SITC</t>
  </si>
  <si>
    <t>15/04/2025 23:59</t>
  </si>
  <si>
    <t>YM COOPERATION 044N</t>
  </si>
  <si>
    <t>087-6644235</t>
  </si>
  <si>
    <t>พี่เฉลิมชัย</t>
  </si>
  <si>
    <t>ภัคจิรา สร้อยจิตร</t>
  </si>
  <si>
    <t>TRIU8596990</t>
  </si>
  <si>
    <t>SITW627382</t>
  </si>
  <si>
    <t>บ.จ.ก. แมวบิน 99</t>
  </si>
  <si>
    <t>หนึ่ง บูรณะ</t>
  </si>
  <si>
    <t>091-0675935</t>
  </si>
  <si>
    <t>700-4800/700-4801กทม</t>
  </si>
  <si>
    <t>090-9621440</t>
  </si>
  <si>
    <t>EVER BASIS 0792-063N</t>
  </si>
  <si>
    <t>050500405694</t>
  </si>
  <si>
    <t>B2</t>
  </si>
  <si>
    <t>2025/04/27 13:00 PM</t>
  </si>
  <si>
    <t>สุเทพ สามารถ</t>
  </si>
  <si>
    <t>061-553-1926</t>
  </si>
  <si>
    <t>74-1415/74-1416สป</t>
  </si>
  <si>
    <t>EMCU5360666</t>
  </si>
  <si>
    <t>EMCMGZ8294</t>
  </si>
  <si>
    <t>ล้ง AOY (SF)</t>
  </si>
  <si>
    <t>26/04/2025 11:59</t>
  </si>
  <si>
    <t>TS XIAMEN 25006N</t>
  </si>
  <si>
    <t>320BK5008425</t>
  </si>
  <si>
    <t>MONSTAR</t>
  </si>
  <si>
    <t>FSCU5878030</t>
  </si>
  <si>
    <t>TSB2673544</t>
  </si>
  <si>
    <t>พี่ป๋อง</t>
  </si>
  <si>
    <t>ธีระวัฒน์ แก้วดำ</t>
  </si>
  <si>
    <t>089-6332470</t>
  </si>
  <si>
    <t>70-4311/70-5882ปข</t>
  </si>
  <si>
    <t>HUA WANG</t>
  </si>
  <si>
    <t>SICHUAN COMMERCIAL INVESTMENT INVESTMENT CO., LTD.</t>
  </si>
  <si>
    <t>DYY-LCH25042</t>
  </si>
  <si>
    <t>DYY-LCH25043</t>
  </si>
  <si>
    <t>DYY-LCH25044</t>
  </si>
  <si>
    <t>DYY-LCH25045</t>
  </si>
  <si>
    <t>DYY-LCH25046</t>
  </si>
  <si>
    <t>DYY-LCH25047</t>
  </si>
  <si>
    <t>DYY-LCH25048</t>
  </si>
  <si>
    <t>DYY-LCH25049</t>
  </si>
  <si>
    <t>DYY-LCH25050</t>
  </si>
  <si>
    <t>DYY-LCH25051</t>
  </si>
  <si>
    <t>DYY-LCH25052</t>
  </si>
  <si>
    <t>DYY-LCH25053</t>
  </si>
  <si>
    <t>DYY-LCH25054</t>
  </si>
  <si>
    <t>DYY-LCH25055</t>
  </si>
  <si>
    <t>DYY-LCH25056</t>
  </si>
  <si>
    <t>DYY-LCH25057</t>
  </si>
  <si>
    <t>DYY-LCH25058</t>
  </si>
  <si>
    <t>DYY-LCH25059</t>
  </si>
  <si>
    <t>DYY-LCH25060</t>
  </si>
  <si>
    <t>DYY-LCH25061</t>
  </si>
  <si>
    <t>DYY-LCH25062</t>
  </si>
  <si>
    <t>DYY-LCH25063</t>
  </si>
  <si>
    <t>DYY-LCH25064</t>
  </si>
  <si>
    <t>DYY-LCH25065</t>
  </si>
  <si>
    <t>DYY-LCH25066</t>
  </si>
  <si>
    <t>DYY-LCH25067</t>
  </si>
  <si>
    <t>DYY-LCH25068</t>
  </si>
  <si>
    <t>DYY-LCH25069</t>
  </si>
  <si>
    <t>DYY-LCH25070</t>
  </si>
  <si>
    <t>DYY-LCH25071</t>
  </si>
  <si>
    <t>DYY-LCH25072</t>
  </si>
  <si>
    <t>DYY-LCH25073</t>
  </si>
  <si>
    <t>DYY-LCH25074</t>
  </si>
  <si>
    <t>DYY-LCH25075</t>
  </si>
  <si>
    <t>DYY-LCH25076</t>
  </si>
  <si>
    <t>DYY-LCH25077</t>
  </si>
  <si>
    <t>DYY-LCH25078</t>
  </si>
  <si>
    <t>DYY-LCH25079</t>
  </si>
  <si>
    <t>DYY-LCH25080</t>
  </si>
  <si>
    <t>DYY-LCH25081</t>
  </si>
  <si>
    <t>DYY-LCH25082</t>
  </si>
  <si>
    <t>DYY-LCH25083</t>
  </si>
  <si>
    <t>แผงทุเรียน เอสพีฟรุ๊ต</t>
  </si>
  <si>
    <t>082-4303645</t>
  </si>
  <si>
    <t>LCHNSA25N04185</t>
  </si>
  <si>
    <t>SEKU9179436</t>
  </si>
  <si>
    <t>C669275</t>
  </si>
  <si>
    <t>A GORYU V. 2562N</t>
  </si>
  <si>
    <t>ธีรพงษ์ พันธ์สำโรง</t>
  </si>
  <si>
    <t>082-0649724</t>
  </si>
  <si>
    <t>71-8895ชลบุรี/72-9767สมุทรปราการ</t>
  </si>
  <si>
    <t>HEDE</t>
  </si>
  <si>
    <t>1/5/2025 14:00</t>
  </si>
  <si>
    <t>1/5/2025 23:59</t>
  </si>
  <si>
    <t>HONG KONG</t>
  </si>
  <si>
    <t>TS KOBE 25008N</t>
  </si>
  <si>
    <t>320BK5009563</t>
  </si>
  <si>
    <t>QIU ZONG</t>
  </si>
  <si>
    <t>ล้ง GDL(ขลุง)</t>
  </si>
  <si>
    <t>087-1019759</t>
  </si>
  <si>
    <t>TSTU8510518</t>
  </si>
  <si>
    <t>TSB2673557</t>
  </si>
  <si>
    <t>คุณบิว</t>
  </si>
  <si>
    <t>066-1606539</t>
  </si>
  <si>
    <t>สงกรานต์ เหมือนเพชร</t>
  </si>
  <si>
    <t>74-2057/74-2054ชลบุรี</t>
  </si>
  <si>
    <t>YMT FRUITS LIMITED</t>
  </si>
  <si>
    <t>+13</t>
  </si>
  <si>
    <t>320BK5009749</t>
  </si>
  <si>
    <t>KMTC TAIPEIS 2505N</t>
  </si>
  <si>
    <t>TSTU8515700</t>
  </si>
  <si>
    <t>TSB2577023</t>
  </si>
  <si>
    <t xml:space="preserve">SHANG MEI </t>
  </si>
  <si>
    <t>JJCLCSKY500937</t>
  </si>
  <si>
    <t>MILD ROSE 2517N</t>
  </si>
  <si>
    <t>JJCLCSKY500931</t>
  </si>
  <si>
    <t>5/5/2025</t>
  </si>
  <si>
    <t>วอน เชื้ออ่ำ</t>
  </si>
  <si>
    <t>73-6239สป/70-6402นบ</t>
  </si>
  <si>
    <t>FBIU5368307</t>
  </si>
  <si>
    <t>SJJA816612</t>
  </si>
  <si>
    <t>081-1098034</t>
  </si>
  <si>
    <t>70-3036/70-3037อุตรดิตถ์</t>
  </si>
  <si>
    <t>FBIU5338998</t>
  </si>
  <si>
    <t>SJJA816619</t>
  </si>
  <si>
    <t xml:space="preserve"> ล้งไท่หลง(ท่าใหม่)</t>
  </si>
  <si>
    <t xml:space="preserve"> 064-4922474</t>
  </si>
  <si>
    <t>JIN HE</t>
  </si>
  <si>
    <t>74-2057/74-5141ชลบุรี</t>
  </si>
  <si>
    <t>7/5/2025  18:00</t>
  </si>
  <si>
    <t>KMTC SINGAPORE 2504N</t>
  </si>
  <si>
    <t>SEGU9586611</t>
  </si>
  <si>
    <t>TH01039993</t>
  </si>
  <si>
    <t>70-6350นน/72-4718สป</t>
  </si>
  <si>
    <t>Email:  docs.list@bjncei.com, gm@bjncei.com</t>
  </si>
  <si>
    <t>TEL: 0086-13911653846 Email:  docs.list@bjncei.com, gm@bjncei.com</t>
  </si>
  <si>
    <t>TAILIANDA</t>
  </si>
  <si>
    <t>ล้ง ไท่ เหลียนต๋า</t>
  </si>
  <si>
    <t>0826783941, 0810010536</t>
  </si>
  <si>
    <t>BLCHC25020530</t>
  </si>
  <si>
    <t>KMC633955</t>
  </si>
  <si>
    <t>RCL</t>
  </si>
  <si>
    <t>10/05/2025  15:00</t>
  </si>
  <si>
    <t>RACHA BHUM 195N</t>
  </si>
  <si>
    <t>เชิดชัย อยู่ระมัด</t>
  </si>
  <si>
    <t>062-9863736</t>
  </si>
  <si>
    <t>70-7603ปทุมธานี/74-2941</t>
  </si>
  <si>
    <t>BLCHC25020528</t>
  </si>
  <si>
    <t>Guangdong Tailinda Fruit Co., Ltd.</t>
  </si>
  <si>
    <t>OTPU6735272</t>
  </si>
  <si>
    <t>THLCH2477145</t>
  </si>
  <si>
    <t>OTPU6735550</t>
  </si>
  <si>
    <t>THLCH2463238</t>
  </si>
  <si>
    <t>A15FX05901</t>
  </si>
  <si>
    <t>09/05/2025  08:00</t>
  </si>
  <si>
    <t>IAAU8680629</t>
  </si>
  <si>
    <t>IAAH227981</t>
  </si>
  <si>
    <t>320BK5010317</t>
  </si>
  <si>
    <t>09/05/2025  23:00</t>
  </si>
  <si>
    <t>TS PENANG 25008N</t>
  </si>
  <si>
    <t>จรูญ จันทะคราม</t>
  </si>
  <si>
    <t>74-2081สป/71-2262นนทบุรี</t>
  </si>
  <si>
    <t>LITTLE ATHINA 2518N</t>
  </si>
  <si>
    <t>TSTU8507540</t>
  </si>
  <si>
    <t>TSB2673688</t>
  </si>
  <si>
    <t>10/05/2025 12:00</t>
  </si>
  <si>
    <t>MTK</t>
  </si>
  <si>
    <t>ธวัชชัย สิงหนาท</t>
  </si>
  <si>
    <t>065-7203997</t>
  </si>
  <si>
    <t>73-1486สระบุรี/74-4160ชลบุรี</t>
  </si>
  <si>
    <t>035FX26415</t>
  </si>
  <si>
    <t>OTPU6772039</t>
  </si>
  <si>
    <t>320BK5010786</t>
  </si>
  <si>
    <t>10/05/2025 11:59</t>
  </si>
  <si>
    <t>TS XIAMEN 25007N</t>
  </si>
  <si>
    <t>320BK5010785</t>
  </si>
  <si>
    <t>JJCLCSKY501058</t>
  </si>
  <si>
    <t>OTPU6600831</t>
  </si>
  <si>
    <t>TSB2744306</t>
  </si>
  <si>
    <t>74-1415สมุทรปราการ/74-1416สมุทรปราการ</t>
  </si>
  <si>
    <t>KST</t>
  </si>
  <si>
    <t>13/05/2025  13:59</t>
  </si>
  <si>
    <t>MILD JASMINE 2518N</t>
  </si>
  <si>
    <t>TSTU8507284</t>
  </si>
  <si>
    <t>TSB2744397</t>
  </si>
  <si>
    <t>081-4322535</t>
  </si>
  <si>
    <t>72-9603ชลบุรี/73-9359ชลบุรี</t>
  </si>
  <si>
    <t>JJCLCSKY500885</t>
  </si>
  <si>
    <t>สำราญ พันธเสมา</t>
  </si>
  <si>
    <t>087-1309296</t>
  </si>
  <si>
    <t>73-2554ชบ/70-7365ชบ</t>
  </si>
  <si>
    <t>ประสพ พากุล</t>
  </si>
  <si>
    <t>061-6239284</t>
  </si>
  <si>
    <t>70-4419ม.ค/71-1614ฉ.ช</t>
  </si>
  <si>
    <t>FBIU5164140</t>
  </si>
  <si>
    <t>SJJA713769</t>
  </si>
  <si>
    <t>FBIU5185369</t>
  </si>
  <si>
    <t>SJJA713709</t>
  </si>
  <si>
    <t>JJCLCSKY500886</t>
  </si>
  <si>
    <t>ล้ง อาหลี่(ขลุง)</t>
  </si>
  <si>
    <t>084-6095271</t>
  </si>
  <si>
    <t>FBIU5368185</t>
  </si>
  <si>
    <t>SJJA713526</t>
  </si>
  <si>
    <t>SHANG MEI-LCZ</t>
  </si>
  <si>
    <t>14/05/2025 18:00</t>
  </si>
  <si>
    <t>YU XING TRADE AND DEVELOPMENT COMPANY LIMITED</t>
  </si>
  <si>
    <t>LIZI-HK</t>
  </si>
  <si>
    <t>TH01042210</t>
  </si>
  <si>
    <t>WONDER</t>
  </si>
  <si>
    <t>SAWASDEE SHANGHAI 2505N</t>
  </si>
  <si>
    <t>10/05/2025 23:59</t>
  </si>
  <si>
    <t>TEMU9245904</t>
  </si>
  <si>
    <t>KMC693136</t>
  </si>
  <si>
    <t>วิชัย ศิริโยธา</t>
  </si>
  <si>
    <t>098-3250228</t>
  </si>
  <si>
    <t>73-4656ชลบุรี/73-9221ชลบุรี</t>
  </si>
  <si>
    <t>72-9603ชลบุรี/73-935ชลบุรี</t>
  </si>
  <si>
    <t>WAN HAI 276 N047</t>
  </si>
  <si>
    <t>WH24A50814</t>
  </si>
  <si>
    <t>WYG</t>
  </si>
  <si>
    <t>320BK5011384</t>
  </si>
  <si>
    <t>17/05/2025 17:00</t>
  </si>
  <si>
    <t>KMTC POHANG 2505N</t>
  </si>
  <si>
    <t>TSTU8511896</t>
  </si>
  <si>
    <t>TSB2673876</t>
  </si>
  <si>
    <t>JJCLCSKY501118</t>
  </si>
  <si>
    <t>18/05/2025 23:59</t>
  </si>
  <si>
    <t>MILD PEONY 2519N</t>
  </si>
  <si>
    <t>ล้งไท่หลง(ท่าใหม่)</t>
  </si>
  <si>
    <t>064-4922474</t>
  </si>
  <si>
    <t>นิรุต  โสดา</t>
  </si>
  <si>
    <t>083-758-9842 / 098-340-3000</t>
  </si>
  <si>
    <t>67-3162ก.ท.ม./73-0891ช.บ.</t>
  </si>
  <si>
    <t>FBIU5337266</t>
  </si>
  <si>
    <t>SJJA811172</t>
  </si>
  <si>
    <t>ERLCSK056011SIT</t>
  </si>
  <si>
    <t>18/05/2025 12:00</t>
  </si>
  <si>
    <t>YM COOPERATION 045N</t>
  </si>
  <si>
    <t>SITU4920724</t>
  </si>
  <si>
    <t>SITW584636</t>
  </si>
  <si>
    <t>ชิดชัย อยู่ระมัด</t>
  </si>
  <si>
    <t>70-7603/74-2941</t>
  </si>
  <si>
    <t>TH01043781</t>
  </si>
  <si>
    <t>SEGU9644955</t>
  </si>
  <si>
    <t>KMC693865</t>
  </si>
  <si>
    <t>ZHENG YUAN</t>
  </si>
  <si>
    <t>ล้งเฮียต่ง(เมืองจันทบุรี)</t>
  </si>
  <si>
    <t>091-9399916</t>
  </si>
  <si>
    <t>Chongqing Jinfan Import and Export Trading Co., Ltd</t>
  </si>
  <si>
    <t>OTPU6602120</t>
  </si>
  <si>
    <t>TSB2749034</t>
  </si>
  <si>
    <t>320BK5011937</t>
  </si>
  <si>
    <t>22/05/2025 11:59</t>
  </si>
  <si>
    <t>TS TIANJIN 25005N</t>
  </si>
  <si>
    <t>รุ่งเรือง จันทร์ดาอ่อน</t>
  </si>
  <si>
    <t>085-2673541</t>
  </si>
  <si>
    <t>70-3338สกลนคร/70-3339สกลนคร</t>
  </si>
  <si>
    <t>(24 large pallets, 2 small pallets)</t>
  </si>
  <si>
    <t>097-0936668</t>
  </si>
  <si>
    <t>TAI GUO</t>
  </si>
  <si>
    <t xml:space="preserve"> JiaXing TaiGuo Trading co.,ltd</t>
  </si>
  <si>
    <t>TH01045027</t>
  </si>
  <si>
    <t>SAWASDEE CAPELLA 2506N</t>
  </si>
  <si>
    <t>ทวีชาย เจิมคุณทด</t>
  </si>
  <si>
    <t>081-8631238</t>
  </si>
  <si>
    <t>70-7130 ชลบุรี/73-3284 ชลบุรี</t>
  </si>
  <si>
    <t>TH01045029</t>
  </si>
  <si>
    <t>SZLU9238815</t>
  </si>
  <si>
    <t>KMC693008</t>
  </si>
  <si>
    <t>TH01045142</t>
  </si>
  <si>
    <t>SEGU9590015</t>
  </si>
  <si>
    <t>KMC693012</t>
  </si>
  <si>
    <t>SEGU9682699</t>
  </si>
  <si>
    <t>KMC693151</t>
  </si>
  <si>
    <t>ล้งJTX(เมืองจันทบุรี)</t>
  </si>
  <si>
    <t>24/05/2025 23:59</t>
  </si>
  <si>
    <t>24/05/2025 18:00</t>
  </si>
  <si>
    <t xml:space="preserve">พิทยา สนธิลา </t>
  </si>
  <si>
    <t>083-994-1551</t>
  </si>
  <si>
    <t>76-9046กทม./75-5954กทม.</t>
  </si>
  <si>
    <t>70-6350/70-6402</t>
  </si>
  <si>
    <t>Pallet</t>
  </si>
  <si>
    <t>SJJA814956</t>
  </si>
  <si>
    <t>KU CHUAN</t>
  </si>
  <si>
    <t>SHENZHEN SAIL TRADE DEVELOPMENT CO., LTD.</t>
  </si>
  <si>
    <t>SEKU9243638</t>
  </si>
  <si>
    <t>ERLCQI058935SIT</t>
  </si>
  <si>
    <t>SITW666312</t>
  </si>
  <si>
    <t>ล้งซินเซิ่งไท้  (จันทบุรี)</t>
  </si>
  <si>
    <t>097-2092568</t>
  </si>
  <si>
    <t>SITC GUANGXI 2515N</t>
  </si>
  <si>
    <t>2/06/2025 23:59</t>
  </si>
  <si>
    <t>BOMING</t>
  </si>
  <si>
    <t>ล้งโชคดี(ท่าใหม่)</t>
  </si>
  <si>
    <t>081-2742104</t>
  </si>
  <si>
    <t>HASLS22250502894</t>
  </si>
  <si>
    <t>HAL</t>
  </si>
  <si>
    <t>KMTC JAKARTA 2506N</t>
  </si>
  <si>
    <t>74-1415/74-1416 สมุทรปราการ</t>
  </si>
  <si>
    <t>30/05/2025 18:00</t>
  </si>
  <si>
    <t>FSCU5894529</t>
  </si>
  <si>
    <t>HAL497033</t>
  </si>
  <si>
    <t>HAINAN BOMING TECHNOLOGY CO., LTD</t>
  </si>
  <si>
    <t>C6 102, SUNSHINE WEST COAST COMMUNITY, XIUYING DISTRICT.HAIKOU CITY. HAINAN PROVINCE CHINA</t>
  </si>
  <si>
    <t>(USCI)：91460000MACH8T39XE</t>
  </si>
  <si>
    <t>Contact: Tina chow / EMAIL:1310147830@qq.com</t>
  </si>
  <si>
    <t>Phone :+0086-18976094505</t>
  </si>
  <si>
    <t>KMTC SINGAPORE 2505N</t>
  </si>
  <si>
    <t>TH01046518</t>
  </si>
  <si>
    <t>30/05/2025 23:59</t>
  </si>
  <si>
    <t>087-9745292</t>
  </si>
  <si>
    <t>SEGU9719381</t>
  </si>
  <si>
    <t>KMC690963</t>
  </si>
  <si>
    <t>ล้งเฮียกุ่ย(มะขาม)</t>
  </si>
  <si>
    <t>086-3262798</t>
  </si>
  <si>
    <t>A15FX07443</t>
  </si>
  <si>
    <t>TH01046296</t>
  </si>
  <si>
    <t>แผงทุเรียนทอง (ท่าใหม่)</t>
  </si>
  <si>
    <t>081-000-9685</t>
  </si>
  <si>
    <t>31/05/2025 23:59</t>
  </si>
  <si>
    <t>ANBIEN SKY N007</t>
  </si>
  <si>
    <t>04/06/2025 12:00</t>
  </si>
  <si>
    <t>SKY ORION 2507N</t>
  </si>
  <si>
    <t>OTPU6035303</t>
  </si>
  <si>
    <t>IAAH246749</t>
  </si>
  <si>
    <t>HUANG ZONG</t>
  </si>
  <si>
    <t>GUOSHEN(JIANGSU) INTERNATIONAL TRADE CO., LTD</t>
  </si>
  <si>
    <t xml:space="preserve">GUOSHEN(JIANGSU) INTERNATIONAL TRADE CO., LTD </t>
  </si>
  <si>
    <t>USCI: 91320602MACJX5YX67</t>
  </si>
  <si>
    <t>Contact: Tina chow , Phone: 18976094505</t>
  </si>
  <si>
    <t>Emai No: 1310147830@qq.com</t>
  </si>
  <si>
    <t>ROOM 605,BUILDING 6,TIAN'AN DIGITAL CITY,NO.199 SHENNAN ROAD,YONGXING STREET,</t>
  </si>
  <si>
    <t>CHONGCHUAN DISTRICT,NANTONG CITY,JIANGSU PROVINCE</t>
  </si>
  <si>
    <t>C.F.R.</t>
  </si>
  <si>
    <t>035FX32638</t>
  </si>
  <si>
    <t>WAN HAI 173 N124</t>
  </si>
  <si>
    <t>SEGU9953358</t>
  </si>
  <si>
    <t>WH24A52118</t>
  </si>
  <si>
    <t>FSCU5871626</t>
  </si>
  <si>
    <t>KMC697222</t>
  </si>
  <si>
    <t>PEAM</t>
  </si>
  <si>
    <t>TH01046997</t>
  </si>
  <si>
    <t>01/06/2025 22:00</t>
  </si>
  <si>
    <t>XIN RI ZHAO 377N</t>
  </si>
  <si>
    <t>TTNU8787539</t>
  </si>
  <si>
    <t>KMC690831</t>
  </si>
  <si>
    <t xml:space="preserve"> วิศัลย์ จันทรสุวรรณ์</t>
  </si>
  <si>
    <t>062-4021881</t>
  </si>
  <si>
    <t>68-2181 กทม./71-2348 นครสวรรค์</t>
  </si>
  <si>
    <t>สุวรรณ</t>
  </si>
  <si>
    <t>091-2226250</t>
  </si>
  <si>
    <t>74-5416 ชบ/70-8535 ชบ</t>
  </si>
  <si>
    <t>DYY TRADING INTL CO.,LTD.</t>
  </si>
  <si>
    <t>Shipment</t>
  </si>
  <si>
    <t>Booking -</t>
  </si>
  <si>
    <t>สายเรือ -</t>
  </si>
  <si>
    <t>Vessel -</t>
  </si>
  <si>
    <t>Full Return -</t>
  </si>
  <si>
    <t>Closing Date -</t>
  </si>
  <si>
    <t>ETD:</t>
  </si>
  <si>
    <t>คนขับ -</t>
  </si>
  <si>
    <t>ทะเบียน -</t>
  </si>
  <si>
    <t>PORT:</t>
  </si>
  <si>
    <t>ชนิดผลไม้-</t>
  </si>
  <si>
    <t>ล้ง/โรงงาน-</t>
  </si>
  <si>
    <t>Shipper-</t>
  </si>
  <si>
    <t>ตู้-</t>
  </si>
  <si>
    <t>เบอร์โทร.</t>
  </si>
  <si>
    <t>Forwarder-</t>
  </si>
  <si>
    <t>DYY TRADING INTL CO.,LTD</t>
  </si>
  <si>
    <t>TEIL CO., LTD.</t>
  </si>
  <si>
    <t>320BK5013134</t>
  </si>
  <si>
    <t>04/06/2025 18:00</t>
  </si>
  <si>
    <t>TS NAGOYA 25009N</t>
  </si>
  <si>
    <t xml:space="preserve">C6 102, SUNSHINE WEST COAST COMMUNITY, XIUYING DISTRICT.HAIKOU CITY. </t>
  </si>
  <si>
    <t>HAINAN PROVINCE CHINA</t>
  </si>
  <si>
    <t>C6 102, SUNSHINE WEST COAST COMMUNITY, XIUYING DISTRICT.HAIKOU CITY.</t>
  </si>
  <si>
    <t>FRESH DURIAN Grade AB</t>
  </si>
  <si>
    <t>FRESH DURIAN Grade CD</t>
  </si>
  <si>
    <t>FSCU5976838</t>
  </si>
  <si>
    <t>TSB2749209</t>
  </si>
  <si>
    <t>วิชชา ชาวงาม</t>
  </si>
  <si>
    <t>087-9108283</t>
  </si>
  <si>
    <t>73-4874/73-7867</t>
  </si>
  <si>
    <t>ซีล-</t>
  </si>
  <si>
    <t>เลขอ้างอิง</t>
  </si>
  <si>
    <t>2294332</t>
  </si>
  <si>
    <t>46</t>
  </si>
  <si>
    <t>เลขอ้างอิง-</t>
  </si>
  <si>
    <t>Consignee-</t>
  </si>
  <si>
    <t>2295399</t>
  </si>
  <si>
    <t>2294029</t>
  </si>
  <si>
    <t>2293737</t>
  </si>
  <si>
    <t>2292994</t>
  </si>
  <si>
    <t>2290736</t>
  </si>
  <si>
    <t>2289512</t>
  </si>
  <si>
    <t>2287655</t>
  </si>
  <si>
    <t>2278254</t>
  </si>
  <si>
    <t>2277642</t>
  </si>
  <si>
    <t>2277482</t>
  </si>
  <si>
    <t>2272948</t>
  </si>
  <si>
    <t>2264223</t>
  </si>
  <si>
    <t>2263114</t>
  </si>
  <si>
    <t>2250923</t>
  </si>
  <si>
    <t>TimeStamp</t>
  </si>
  <si>
    <t>LCHNSA25N05246</t>
  </si>
  <si>
    <t>ASIATIC REUNION 2512N</t>
  </si>
  <si>
    <t>48</t>
  </si>
  <si>
    <t>Last Update-</t>
  </si>
  <si>
    <t>*******************</t>
  </si>
  <si>
    <t>Temp.:</t>
  </si>
  <si>
    <t>Vent.:</t>
  </si>
  <si>
    <t>SEGU9564187</t>
  </si>
  <si>
    <t>05/06/2025 16:00</t>
  </si>
  <si>
    <t>2298058</t>
  </si>
  <si>
    <t>Last Update 
(dd/mm/yyyy)</t>
  </si>
  <si>
    <t>BLCHC25026600</t>
  </si>
  <si>
    <t>OTPU6724133</t>
  </si>
  <si>
    <t>THLCH2466067</t>
  </si>
  <si>
    <t>วิศัลย์ จันทรสุวรรณ์</t>
  </si>
  <si>
    <t>2299085</t>
  </si>
  <si>
    <t>ZHEN GUO HOU</t>
  </si>
  <si>
    <t>FSCU5913974</t>
  </si>
  <si>
    <t>LC2504091</t>
  </si>
  <si>
    <t>CKL043549</t>
  </si>
  <si>
    <t>76-9046 กทม. /75-5954 กทม.</t>
  </si>
  <si>
    <t xml:space="preserve"> 04/06/2025 23:59</t>
  </si>
  <si>
    <t>CK LINE</t>
  </si>
  <si>
    <t>07/06/2025 17:00</t>
  </si>
  <si>
    <t>LC2504092</t>
  </si>
  <si>
    <t>OTPU6320213</t>
  </si>
  <si>
    <t>CKL043546</t>
  </si>
  <si>
    <t>พิชิต พิชัย</t>
  </si>
  <si>
    <t>095-6672600</t>
  </si>
  <si>
    <t>72-2040รย/72-2618 รย</t>
  </si>
  <si>
    <t>PC-LCH24001</t>
  </si>
  <si>
    <t>ล้งกรีนเชน</t>
  </si>
  <si>
    <t>094-5762328</t>
  </si>
  <si>
    <t>EMCU5659913</t>
  </si>
  <si>
    <t>050400448872</t>
  </si>
  <si>
    <t>EMCLVB6813</t>
  </si>
  <si>
    <t>2024/04/26 - 14.00</t>
  </si>
  <si>
    <t>EVER CHAMP V.0243-004B</t>
  </si>
  <si>
    <t>73-8049/71-1614ชลบุรี</t>
  </si>
  <si>
    <t>PC-LCH24002</t>
  </si>
  <si>
    <t>GTD0839261</t>
  </si>
  <si>
    <t>AMCU9310988</t>
  </si>
  <si>
    <t>L6416928</t>
  </si>
  <si>
    <t>2024/04/26 - 18.00</t>
  </si>
  <si>
    <t>TS NAGOYA V.24004N</t>
  </si>
  <si>
    <t>ไตรภูมิ โสปัญญาริห์</t>
  </si>
  <si>
    <t>084-0252212</t>
  </si>
  <si>
    <t>70-6121/71-9332อย</t>
  </si>
  <si>
    <t>PC-LCH24003</t>
  </si>
  <si>
    <t>ล้งZD168</t>
  </si>
  <si>
    <t>050400448880</t>
  </si>
  <si>
    <t>EMCU5669064</t>
  </si>
  <si>
    <t>EMCLVA6053</t>
  </si>
  <si>
    <t>2024/04/26 - 08.00</t>
  </si>
  <si>
    <t>74-2081สป/74-2262นน</t>
  </si>
  <si>
    <t>050400448898</t>
  </si>
  <si>
    <t>EMCU5659908</t>
  </si>
  <si>
    <t>EMCLVA5973</t>
  </si>
  <si>
    <t>PC-LCH24005</t>
  </si>
  <si>
    <t>050400448902</t>
  </si>
  <si>
    <t>EMCU5669110</t>
  </si>
  <si>
    <t>EMCUUZ0873</t>
  </si>
  <si>
    <t>พี่บุญชัย</t>
  </si>
  <si>
    <t>PC-LCH24006</t>
  </si>
  <si>
    <t>050400442342</t>
  </si>
  <si>
    <t>EMCU5658584</t>
  </si>
  <si>
    <t>EMCLVB7343</t>
  </si>
  <si>
    <t>พรหมมา ปัจจุสนันท์</t>
  </si>
  <si>
    <t>092-8187048</t>
  </si>
  <si>
    <t>72-1486อย/72-1487อย</t>
  </si>
  <si>
    <t>PC-LCH24007</t>
  </si>
  <si>
    <t>JJCLCNSY400272</t>
  </si>
  <si>
    <t>SEKU9096624</t>
  </si>
  <si>
    <t>SJJC073079</t>
  </si>
  <si>
    <t>68-0608/68-0609กท</t>
  </si>
  <si>
    <t>JJCLCNSY400274</t>
  </si>
  <si>
    <t>FBIU5337899</t>
  </si>
  <si>
    <t>SJJC073076</t>
  </si>
  <si>
    <t>ขุนทอง บุญเกิด</t>
  </si>
  <si>
    <t>085-4936254</t>
  </si>
  <si>
    <t>72-6695/72-6696รย</t>
  </si>
  <si>
    <t>FSCU5698803</t>
  </si>
  <si>
    <t>WH21-194819</t>
  </si>
  <si>
    <t>รังสรรค์ แสนจะกูล</t>
  </si>
  <si>
    <t>061-4503699</t>
  </si>
  <si>
    <t>65-8568/70-7336ชบ</t>
  </si>
  <si>
    <t>PC-LCH24010</t>
  </si>
  <si>
    <t>ล้งพี่ฟ้า</t>
  </si>
  <si>
    <t>JJCLCNSY400280</t>
  </si>
  <si>
    <t>FBIU5337749</t>
  </si>
  <si>
    <t>SJJC049038</t>
  </si>
  <si>
    <t>2024/04/27 - 23.00</t>
  </si>
  <si>
    <t>BTL</t>
  </si>
  <si>
    <t>บุญธรรม จักรนารายณ์</t>
  </si>
  <si>
    <t>094-8697185</t>
  </si>
  <si>
    <t>64-0597กท/64-1256กท</t>
  </si>
  <si>
    <t>PC-LCH24011</t>
  </si>
  <si>
    <t>JJCLCNSY400281</t>
  </si>
  <si>
    <t>SEKU9097533</t>
  </si>
  <si>
    <t>SJJC073107</t>
  </si>
  <si>
    <t>ปฎิมาพงษ์ กลัดกระโทก</t>
  </si>
  <si>
    <t>73-8342สป/73-8323สป</t>
  </si>
  <si>
    <t>PC-LCH24012</t>
  </si>
  <si>
    <t>JJCLCNSY400282</t>
  </si>
  <si>
    <t>FBIU5337862</t>
  </si>
  <si>
    <t>SJJC048942</t>
  </si>
  <si>
    <t>อนันต์ ตรีโยธา</t>
  </si>
  <si>
    <t>065-4905404</t>
  </si>
  <si>
    <t>73-1134 ชบ</t>
  </si>
  <si>
    <t>PC-LCH24013</t>
  </si>
  <si>
    <t>GTD0844084</t>
  </si>
  <si>
    <t>OTPU6310339</t>
  </si>
  <si>
    <t>L6424429</t>
  </si>
  <si>
    <t>2024/04/28 - 23.59</t>
  </si>
  <si>
    <t>สุมนตรี วุฒิยา</t>
  </si>
  <si>
    <t>099-4509468</t>
  </si>
  <si>
    <t>73-1197สป/63-2829กท</t>
  </si>
  <si>
    <t>แผงคุณหลิน</t>
  </si>
  <si>
    <t>GTD0843464</t>
  </si>
  <si>
    <t>CGMU5574149</t>
  </si>
  <si>
    <t>L6416800</t>
  </si>
  <si>
    <t>PC-LCH24015</t>
  </si>
  <si>
    <t>GTD0843465</t>
  </si>
  <si>
    <t>SEKU9259465</t>
  </si>
  <si>
    <t>L6420880</t>
  </si>
  <si>
    <t>CGMU5193142</t>
  </si>
  <si>
    <t>R7605015</t>
  </si>
  <si>
    <t>GTD0943417</t>
  </si>
  <si>
    <t>06/06/2025 22:00</t>
  </si>
  <si>
    <t>I488332633</t>
  </si>
  <si>
    <t>YANG MING</t>
  </si>
  <si>
    <t>07/06/2025 11:59</t>
  </si>
  <si>
    <t>YM IMAGE 206N</t>
  </si>
  <si>
    <t>I488332636</t>
  </si>
  <si>
    <t>กระทิงทอง สีแสด</t>
  </si>
  <si>
    <t>096-649-7215</t>
  </si>
  <si>
    <t>72-3151 นฐ/71-9915 ชบ</t>
  </si>
  <si>
    <t>TH01047676</t>
  </si>
  <si>
    <t>07/06/2025 23:59</t>
  </si>
  <si>
    <t>C668652</t>
  </si>
  <si>
    <t>YMLU5514808</t>
  </si>
  <si>
    <t>YMAT839463</t>
  </si>
  <si>
    <t>YMLU5518790</t>
  </si>
  <si>
    <t>YMAT839466</t>
  </si>
  <si>
    <t>FSCU5871246</t>
  </si>
  <si>
    <t>KMC681781</t>
  </si>
  <si>
    <t>XIN WU HAN 179N</t>
  </si>
  <si>
    <t>Hainan Botai Agriculture Development Co. , Ltd.</t>
  </si>
  <si>
    <t>Triangle Tian Shan Fang, Meidang village, Shishan town, Xiuying district, Haikou City, Hainan Province</t>
  </si>
  <si>
    <t>Contact person :Tina chow, 18976094505</t>
  </si>
  <si>
    <t>E-mail no:1310147830@qq.com</t>
  </si>
  <si>
    <t>USCI:91460100324027947A</t>
  </si>
  <si>
    <t xml:space="preserve">ZHEN GUO HOU </t>
  </si>
  <si>
    <t>LC2504224</t>
  </si>
  <si>
    <t>76-9046 กทม./75-5954 กทม</t>
  </si>
  <si>
    <t>LC2504225</t>
  </si>
  <si>
    <t>มนูญ  ฉิมพลี</t>
  </si>
  <si>
    <t>081-439-0993</t>
  </si>
  <si>
    <t>74-6084 ชลบุรี/73-7249 ชลบุรี</t>
  </si>
  <si>
    <t>LC2504226</t>
  </si>
  <si>
    <t xml:space="preserve">กันยารัตน์ </t>
  </si>
  <si>
    <t>065-5392018</t>
  </si>
  <si>
    <t>71-2345 นนทบุรี / 66-1103 กรุงเทพ</t>
  </si>
  <si>
    <t>LC2504227</t>
  </si>
  <si>
    <t>ประสพ   พากุล</t>
  </si>
  <si>
    <t>70-4419มหาสารคาม/71-1614  ฉะเชิงเทรา</t>
  </si>
  <si>
    <t>LC2504229</t>
  </si>
  <si>
    <t>ประภาส จันไทย</t>
  </si>
  <si>
    <t>062-1831436</t>
  </si>
  <si>
    <t>73-2063 ชบ/71-9600 ชบ</t>
  </si>
  <si>
    <t>LC2504230</t>
  </si>
  <si>
    <t>OTPU6523817</t>
  </si>
  <si>
    <t>CKL043336</t>
  </si>
  <si>
    <t>OTPU6523967</t>
  </si>
  <si>
    <t>CKL043326</t>
  </si>
  <si>
    <t>FBIU5113250</t>
  </si>
  <si>
    <t>CKL043268</t>
  </si>
  <si>
    <t>FBIU5109965</t>
  </si>
  <si>
    <t>CKL043334</t>
  </si>
  <si>
    <t>OTPU6736880</t>
  </si>
  <si>
    <t>CKL043339</t>
  </si>
  <si>
    <t>YAN PAI</t>
  </si>
  <si>
    <t>08/06/2025 11:59</t>
  </si>
  <si>
    <t>สุภโชค ทองคำ</t>
  </si>
  <si>
    <t>063-083-2160</t>
  </si>
  <si>
    <t>73-2062 ช บ/72-72-9161ช บ</t>
  </si>
  <si>
    <t>OTPU6736690</t>
  </si>
  <si>
    <t>CKL043206</t>
  </si>
  <si>
    <t>TH01048293</t>
  </si>
  <si>
    <t>HASLS22250600660</t>
  </si>
  <si>
    <t>FSCU5909110</t>
  </si>
  <si>
    <t>HAL496135</t>
  </si>
  <si>
    <t>SAWASDEE SHANGHAI 2506N</t>
  </si>
  <si>
    <t>ไชยา ศัตรูพินาศ</t>
  </si>
  <si>
    <t>085-7640292</t>
  </si>
  <si>
    <t>73-2011 ชบ/71-9651 ชบ</t>
  </si>
  <si>
    <t>TTNU8786722</t>
  </si>
  <si>
    <t>KMC681774</t>
  </si>
  <si>
    <t>10/06/2025 23:59</t>
  </si>
  <si>
    <t>ไกรษร อันทเกตุ</t>
  </si>
  <si>
    <t>086-3954535</t>
  </si>
  <si>
    <t>72-9603 ชลบุรี/73-5635 ชลบุรี</t>
  </si>
  <si>
    <t>SEKU9098381</t>
  </si>
  <si>
    <t>TH01048292</t>
  </si>
  <si>
    <t>KMC681775</t>
  </si>
  <si>
    <t>ภูวดล บุญหลัง</t>
  </si>
  <si>
    <t>065-5675922</t>
  </si>
  <si>
    <t>74-7439 ชลบุรี/73-5637 ชลบุรี</t>
  </si>
  <si>
    <t>LC2504256</t>
  </si>
  <si>
    <t>OTPU6323085</t>
  </si>
  <si>
    <t>CKL043209</t>
  </si>
  <si>
    <t>11/06/2025  23:59</t>
  </si>
  <si>
    <t>เชาวลิต เขียนชัยนาท</t>
  </si>
  <si>
    <t>083-7039754</t>
  </si>
  <si>
    <t>73-1257 ชลบุรี/73-9221 ชลบุรี</t>
  </si>
  <si>
    <t>FSCU5908788</t>
  </si>
  <si>
    <t>HAL496184</t>
  </si>
  <si>
    <t>HASLS22250600659</t>
  </si>
  <si>
    <t>11/06/2025 23:59</t>
  </si>
  <si>
    <t>HASLS22250600682</t>
  </si>
  <si>
    <t>FBIU5102750</t>
  </si>
  <si>
    <t>HAL496185</t>
  </si>
  <si>
    <t xml:space="preserve"> กันยารัตน์ </t>
  </si>
  <si>
    <t>71-2345 นนทบุรี/66-1103 กรุงเทพ</t>
  </si>
  <si>
    <t>HASLS22250600683</t>
  </si>
  <si>
    <t>FSCU5891561</t>
  </si>
  <si>
    <t>HAL496145</t>
  </si>
  <si>
    <t>พิทยา สนธิลา</t>
  </si>
  <si>
    <t>76-9046 กทม./75-5954 กทม.</t>
  </si>
  <si>
    <t>TH01048377</t>
  </si>
  <si>
    <t>OTPU6660701</t>
  </si>
  <si>
    <t>KMC681622</t>
  </si>
  <si>
    <t>พัฒนพงศ์ พาสูงเนิน</t>
  </si>
  <si>
    <t>063-2574467</t>
  </si>
  <si>
    <t>69-9538กทม./69-9533กทม.</t>
  </si>
  <si>
    <t>TH01048378</t>
  </si>
  <si>
    <t>TTNU8789254</t>
  </si>
  <si>
    <t>KMC681623</t>
  </si>
  <si>
    <t>ตีน้อย  อุมพิมาย</t>
  </si>
  <si>
    <t>097-1613299</t>
  </si>
  <si>
    <t>71-2409 นครสวรรค์/71-2410.นครสวรรค์</t>
  </si>
  <si>
    <t>12/06/2025 11:59 AM</t>
  </si>
  <si>
    <t>DYY-LCH25084</t>
  </si>
  <si>
    <t>DYY-LCH25085</t>
  </si>
  <si>
    <t>DYY-LCH25086</t>
  </si>
  <si>
    <t>DYY-LCH25087</t>
  </si>
  <si>
    <t>DYY-LCH25088</t>
  </si>
  <si>
    <t>DYY-LCH25089</t>
  </si>
  <si>
    <t>DYY-LCH25090</t>
  </si>
  <si>
    <t>DYY-LCH25091</t>
  </si>
  <si>
    <t>DYY-LCH25092</t>
  </si>
  <si>
    <t>DYY-LCH25093</t>
  </si>
  <si>
    <t>DYY-LCH25094</t>
  </si>
  <si>
    <t>DYY-LCH25095</t>
  </si>
  <si>
    <t>DYY-LCH25096</t>
  </si>
  <si>
    <t>DYY-LCH25097</t>
  </si>
  <si>
    <t>DYY-LCH25098</t>
  </si>
  <si>
    <t>DYY-LCH25099</t>
  </si>
  <si>
    <t>DYY-LCH25100</t>
  </si>
  <si>
    <t>BEST WEALTHY</t>
  </si>
  <si>
    <t>BEST WEALTHY CORPORATION LIMITED</t>
  </si>
  <si>
    <t>HASLS22250600796</t>
  </si>
  <si>
    <t>12/06/2025 23:59</t>
  </si>
  <si>
    <t>HASLS22250600662</t>
  </si>
  <si>
    <t>SAWASDEE RIGEL 2506N</t>
  </si>
  <si>
    <t>xxxxxx</t>
  </si>
  <si>
    <t>DYY-LCH25101</t>
  </si>
  <si>
    <t>DYY-LCH25102</t>
  </si>
  <si>
    <t>DYY-LCH25103</t>
  </si>
  <si>
    <t>DYY-LCH25104</t>
  </si>
  <si>
    <t>DYY-LCH25105</t>
  </si>
  <si>
    <t>DYY-LCH25106</t>
  </si>
  <si>
    <t>DYY-LCH25107</t>
  </si>
  <si>
    <t>DYY-LCH25108</t>
  </si>
  <si>
    <t>HASLS22250600663</t>
  </si>
  <si>
    <t>LCHNSA25N06038</t>
  </si>
  <si>
    <t>A GORYU V.2565N</t>
  </si>
  <si>
    <t>12/06/2025 18:00</t>
  </si>
  <si>
    <t>FBIU5370665</t>
  </si>
  <si>
    <t>HAL496056</t>
  </si>
  <si>
    <t>FBIU5371358</t>
  </si>
  <si>
    <t>HAL496021</t>
  </si>
  <si>
    <t>ธวัตชัย เผือกทับ</t>
  </si>
  <si>
    <t>063-880-2407</t>
  </si>
  <si>
    <t>71-2778 กทม./68-6702 กทม.</t>
  </si>
  <si>
    <t>FSCU5708558</t>
  </si>
  <si>
    <t>C860827</t>
  </si>
  <si>
    <t>FBIU5370726</t>
  </si>
  <si>
    <t>HAL496189</t>
  </si>
  <si>
    <t xml:space="preserve">74-1415 สมุทรปราการ/74-1416 สมุทรปราการ </t>
  </si>
  <si>
    <t>Yunnan Xinjiyi Agricultural Technology CO.,Ltd.</t>
  </si>
  <si>
    <t>A15FX07936</t>
  </si>
  <si>
    <t>ANBIEN SKY N008</t>
  </si>
  <si>
    <t>13/06/2025 23:59</t>
  </si>
  <si>
    <t>TH01049056</t>
  </si>
  <si>
    <t>2315527</t>
  </si>
  <si>
    <t>IAAU8698206</t>
  </si>
  <si>
    <t>IAAH246700</t>
  </si>
  <si>
    <t>FBIU5378408</t>
  </si>
  <si>
    <t>KMC681708</t>
  </si>
  <si>
    <t>HASLS22250601102</t>
  </si>
  <si>
    <t>FSCU5887330</t>
  </si>
  <si>
    <t>HAL496072</t>
  </si>
  <si>
    <t>XIN NAN SHA 477N</t>
  </si>
  <si>
    <t>OERU4281190</t>
  </si>
  <si>
    <t>มณเฑียร  อินทสุข</t>
  </si>
  <si>
    <t>099-1688855 / 082-8866610</t>
  </si>
  <si>
    <t xml:space="preserve"> 73-2486  ส.ป./73-2503   ส.ป.</t>
  </si>
  <si>
    <t>A15FX08082</t>
  </si>
  <si>
    <t>14/06/2025 23:59</t>
  </si>
  <si>
    <t>14/06/2025 23:30</t>
  </si>
  <si>
    <t>OTPU6211038</t>
  </si>
  <si>
    <t>IAAH246631</t>
  </si>
  <si>
    <t>HASLS22250601301</t>
  </si>
  <si>
    <t>30281386</t>
  </si>
  <si>
    <t>SEGU9983666</t>
  </si>
  <si>
    <t>061-623-9284</t>
  </si>
  <si>
    <t>FSCU5890360</t>
  </si>
  <si>
    <t>HAL496020</t>
  </si>
  <si>
    <t>ศักดิ์ดา ทำนุ</t>
  </si>
  <si>
    <t>72-6693 / 73-9358</t>
  </si>
  <si>
    <t>A15FX07892</t>
  </si>
  <si>
    <t>IAAU8688656</t>
  </si>
  <si>
    <t>IAAH246679</t>
  </si>
  <si>
    <t>A15FX08167</t>
  </si>
  <si>
    <t xml:space="preserve">ANBIEN SKY N008 </t>
  </si>
  <si>
    <t>IAAU8688297</t>
  </si>
  <si>
    <t>IAAH246584</t>
  </si>
  <si>
    <t>ธเนษฐ  สมชัยยา</t>
  </si>
  <si>
    <t>065-3230814</t>
  </si>
  <si>
    <t xml:space="preserve">71-5960  ส.ป /70-2011  ส.ท </t>
  </si>
  <si>
    <t>A15FX08165</t>
  </si>
  <si>
    <t>OTPU6211172</t>
  </si>
  <si>
    <t>IAAH246585</t>
  </si>
  <si>
    <t>A15FX08166</t>
  </si>
  <si>
    <t>OTPU6222135</t>
  </si>
  <si>
    <t>IAAH246582</t>
  </si>
  <si>
    <t>ERLCSK064099SIT</t>
  </si>
  <si>
    <t>ERLCSK064101SIT</t>
  </si>
  <si>
    <t>HASLS22250601353</t>
  </si>
  <si>
    <t>ERLCSK064107SIT</t>
  </si>
  <si>
    <t>HASLS22250601352</t>
  </si>
  <si>
    <t>HASLS22250601354</t>
  </si>
  <si>
    <t>LC2504473</t>
  </si>
  <si>
    <t>HASLS22250601360</t>
  </si>
  <si>
    <t>LC2504438</t>
  </si>
  <si>
    <t>WAYO ASIA FRUIT COMPANY LIMITED</t>
  </si>
  <si>
    <t>SAWASDEE CAPELLA V.2507N</t>
  </si>
  <si>
    <t>FBIU5112151</t>
  </si>
  <si>
    <t>CKL043193</t>
  </si>
  <si>
    <t>16/06/2025 17:00</t>
  </si>
  <si>
    <t xml:space="preserve">SHENG PAI </t>
  </si>
  <si>
    <t>ERLCSK064115SIT</t>
  </si>
  <si>
    <t>OTPU6626646</t>
  </si>
  <si>
    <t>SITW671654</t>
  </si>
  <si>
    <t>70-6350 / 72-4718</t>
  </si>
  <si>
    <t>15/06/2025 23:59</t>
  </si>
  <si>
    <t>16/06/2025 08:00</t>
  </si>
  <si>
    <t>17/06/2025 11:59</t>
  </si>
  <si>
    <t>OTPU6624793</t>
  </si>
  <si>
    <t>SITW671657</t>
  </si>
  <si>
    <t>72-6693 /73-9358</t>
  </si>
  <si>
    <t>FBIU5092902</t>
  </si>
  <si>
    <t>HAS1009160</t>
  </si>
  <si>
    <t>70-7130 ชบ / 72-3652 ชบ</t>
  </si>
  <si>
    <t>SAWASDEE CAPELLA 2507N</t>
  </si>
  <si>
    <t>FBIU5087043</t>
  </si>
  <si>
    <t>HAS1009162</t>
  </si>
  <si>
    <t>16/06/2025 23:59</t>
  </si>
  <si>
    <t xml:space="preserve">ธวัตชัย เผือกทับ </t>
  </si>
  <si>
    <t>FSCU5868324</t>
  </si>
  <si>
    <t>HAS1009167</t>
  </si>
  <si>
    <t>สำเริง จันทร์ไชย</t>
  </si>
  <si>
    <t>062-152-4501</t>
  </si>
  <si>
    <t>67-1003 กทม/68 - 8322 กทม</t>
  </si>
  <si>
    <t>FSCU5913001</t>
  </si>
  <si>
    <t>CKL043117</t>
  </si>
  <si>
    <t>พงศ์ศักดิ์ สังข์ชู</t>
  </si>
  <si>
    <t>061-464-5381</t>
  </si>
  <si>
    <t>73-2012 ชบ / 71-7615 ชบ</t>
  </si>
  <si>
    <t>FSC5835758</t>
  </si>
  <si>
    <t>HAS1009161</t>
  </si>
  <si>
    <t>76-9046 กทม. / 75-5954 กทม.</t>
  </si>
  <si>
    <t>OTPU6619858</t>
  </si>
  <si>
    <t>SITW671660</t>
  </si>
  <si>
    <t>73-6239/72-6694</t>
  </si>
  <si>
    <t>74-2081/71-2262</t>
  </si>
  <si>
    <t>SEKU9107009</t>
  </si>
  <si>
    <t>SITW671711</t>
  </si>
  <si>
    <t>วุฒิพงษ์ บุญหลัง</t>
  </si>
  <si>
    <t>098-3423310</t>
  </si>
  <si>
    <t>73-4642 ชลบุรี/ 71-9220 ชลบุรี</t>
  </si>
  <si>
    <t>DYY-LCH25109</t>
  </si>
  <si>
    <t>DYY-LCH25110</t>
  </si>
  <si>
    <t>DYY-LCH25111</t>
  </si>
  <si>
    <t>DYY-LCH25112</t>
  </si>
  <si>
    <t>DYY-LCH25113</t>
  </si>
  <si>
    <t>DYY-LCH25114</t>
  </si>
  <si>
    <t>DYY-LCH25115</t>
  </si>
  <si>
    <t>DYY-LCH25116</t>
  </si>
  <si>
    <t>DYY-LCH25117</t>
  </si>
  <si>
    <t>DYY-LCH25118</t>
  </si>
  <si>
    <t>DYY-LCH25119</t>
  </si>
  <si>
    <t>DYY-LCH25120</t>
  </si>
  <si>
    <t>DYY-LCH25121</t>
  </si>
  <si>
    <t>DYY-LCH25122</t>
  </si>
  <si>
    <t>DYY-LCH25123</t>
  </si>
  <si>
    <t>DYY-LCH25124</t>
  </si>
  <si>
    <t>DYY-LCH25125</t>
  </si>
  <si>
    <t>DYY-LCH25126</t>
  </si>
  <si>
    <t>DYY-LCH25127</t>
  </si>
  <si>
    <t>DYY-LCH25128</t>
  </si>
  <si>
    <t>DYY-LCH25129</t>
  </si>
  <si>
    <t>DYY-LCH25130</t>
  </si>
  <si>
    <t>DYY-LCH25131</t>
  </si>
  <si>
    <t>DYY-LCH25132</t>
  </si>
  <si>
    <t>DYY-LCH25133</t>
  </si>
  <si>
    <t>DYY-LCH25134</t>
  </si>
  <si>
    <t>DYY-LCH25135</t>
  </si>
  <si>
    <t>DYY-LCH25136</t>
  </si>
  <si>
    <t>DYY-LCH25137</t>
  </si>
  <si>
    <t>SITC WENDE 2511N</t>
  </si>
  <si>
    <t>BLCHC25028819</t>
  </si>
  <si>
    <t>SEGU9425725</t>
  </si>
  <si>
    <t>THLCH2511197</t>
  </si>
  <si>
    <t>18/06/2025 15.00</t>
  </si>
  <si>
    <t>16/06/2025 14:08:59</t>
  </si>
  <si>
    <t>TS NAGOYA 25010N</t>
  </si>
  <si>
    <t>โสภา  แสนเกตุ</t>
  </si>
  <si>
    <t>065-3124813</t>
  </si>
  <si>
    <t>73 9289 สป./74 5349 สป.</t>
  </si>
  <si>
    <t>BLCHC25028820</t>
  </si>
  <si>
    <t>YT</t>
  </si>
  <si>
    <t>ล้งYT(ท่าใหม่)</t>
  </si>
  <si>
    <t>084-5226422</t>
  </si>
  <si>
    <t>BLCHC25028821</t>
  </si>
  <si>
    <t>SEKU9106189</t>
  </si>
  <si>
    <t>THLCH2466003</t>
  </si>
  <si>
    <t>Yiwu Yu Mo Supply Chain Management Co. , Ltd.</t>
  </si>
  <si>
    <t>LCHNSA25N06111</t>
  </si>
  <si>
    <t>LCHNSA25N06070</t>
  </si>
  <si>
    <t>LCHNSA25N06112</t>
  </si>
  <si>
    <t>LCHNSA25N06071</t>
  </si>
  <si>
    <t>16/06/2025 17:47:41</t>
  </si>
  <si>
    <t>19/06/2025 18:00</t>
  </si>
  <si>
    <t>ASIATIC REUNION V.2513N</t>
  </si>
  <si>
    <t>71-5960  ส.ป/70-2011  ส.ท</t>
  </si>
  <si>
    <t>วรานนท์ วิยะรันดร์</t>
  </si>
  <si>
    <t>SEGU9513180</t>
  </si>
  <si>
    <t>THLCH2458505</t>
  </si>
  <si>
    <t>SEGU9562477</t>
  </si>
  <si>
    <t>C669187</t>
  </si>
  <si>
    <t>SEGU9562306</t>
  </si>
  <si>
    <t>C669173</t>
  </si>
  <si>
    <t>SEGU9561866</t>
  </si>
  <si>
    <t>C669182</t>
  </si>
  <si>
    <t>SEGU9564572</t>
  </si>
  <si>
    <t>C669178</t>
  </si>
  <si>
    <t>SITC KANTO 2513N</t>
  </si>
  <si>
    <t xml:space="preserve"> ทวีชาย เจิมคุณทด</t>
  </si>
  <si>
    <t>70-7130 ชบ/72-3652 ชบ</t>
  </si>
  <si>
    <t>18/06/2025 09:41:50</t>
  </si>
  <si>
    <t>18/06/2025 09:41:51</t>
  </si>
  <si>
    <t>18/06/2025 09:41:53</t>
  </si>
  <si>
    <t>18/06/2025 09:41:57</t>
  </si>
  <si>
    <t>18/06/2025 09:41:58</t>
  </si>
  <si>
    <t>18/06/2025 09:42:00</t>
  </si>
  <si>
    <t>18/06/2025 09:42:01</t>
  </si>
  <si>
    <t>18/06/2025 09:42:06</t>
  </si>
  <si>
    <t>18/06/2025 09:42:07</t>
  </si>
  <si>
    <t>18/06/2025 09:42:08</t>
  </si>
  <si>
    <t>18/06/2025 09:42:10</t>
  </si>
  <si>
    <t>18/06/2025 09:42:16</t>
  </si>
  <si>
    <t>18/06/2025 09:42:17</t>
  </si>
  <si>
    <t>18/06/2025 09:42:20</t>
  </si>
  <si>
    <t>18/06/2025 09:42:24</t>
  </si>
  <si>
    <t>18/06/2025 09:42:25</t>
  </si>
  <si>
    <t>18/06/2025 09:42:26</t>
  </si>
  <si>
    <t>18/06/2025 09:42:30</t>
  </si>
  <si>
    <t>18/06/2025 09:42:32</t>
  </si>
  <si>
    <t>18/06/2025 09:42:33</t>
  </si>
  <si>
    <t>18/06/2025 09:42:34</t>
  </si>
  <si>
    <t>18/06/2025 09:42:42</t>
  </si>
  <si>
    <t>18/06/2025 09:42:43</t>
  </si>
  <si>
    <t>18/06/2025 09:42:48</t>
  </si>
  <si>
    <t>18/06/2025 09:42:49</t>
  </si>
  <si>
    <t>18/06/2025 09:42:50</t>
  </si>
  <si>
    <t>18/06/2025 09:42:51</t>
  </si>
  <si>
    <t>18/06/2025 09:42:52</t>
  </si>
  <si>
    <t>18/06/2025 09:42:54</t>
  </si>
  <si>
    <t>18/06/2025 09:43:09</t>
  </si>
  <si>
    <t>18/06/2025 11:16:54</t>
  </si>
  <si>
    <t>18/06/2025 12:04:06</t>
  </si>
  <si>
    <t>TH01050334</t>
  </si>
  <si>
    <t>18/06/2025 12:25:09</t>
  </si>
  <si>
    <t>TH01050331</t>
  </si>
  <si>
    <t>ERLCQI064431SIT</t>
  </si>
  <si>
    <t>ERLCQI064807SIT</t>
  </si>
  <si>
    <t>KMTC GWANGYANG 2506N</t>
  </si>
  <si>
    <t>TH01050341</t>
  </si>
  <si>
    <t>HASLS22250601794</t>
  </si>
  <si>
    <t>18/06/2025 13:22:21</t>
  </si>
  <si>
    <t>6/18/2025</t>
  </si>
  <si>
    <t xml:space="preserve"> ตีน้อย  อุมพิมาย</t>
  </si>
  <si>
    <t>71-2409 นครสวรรค์/71-2410 นครสวรรค์</t>
  </si>
  <si>
    <t>2329879 - ยกเลิก พก7. ผิดGAP</t>
  </si>
  <si>
    <t xml:space="preserve"> 065-3124813</t>
  </si>
  <si>
    <t>73 9289 สป. / 74 5349 สป.</t>
  </si>
  <si>
    <t>ท่าเรือแหลมฉบัง-หนานซา</t>
  </si>
  <si>
    <t>รับตู้</t>
  </si>
  <si>
    <t xml:space="preserve">件数จำนวน: </t>
  </si>
  <si>
    <r>
      <t>NW</t>
    </r>
    <r>
      <rPr>
        <sz val="11"/>
        <color theme="1"/>
        <rFont val="Angsana New"/>
        <family val="1"/>
      </rPr>
      <t>:</t>
    </r>
  </si>
  <si>
    <t>GW:</t>
  </si>
  <si>
    <t>司机:</t>
  </si>
  <si>
    <t xml:space="preserve">电话: </t>
  </si>
  <si>
    <t>车牌:</t>
  </si>
  <si>
    <t>Booking:</t>
  </si>
  <si>
    <t>柜号:</t>
  </si>
  <si>
    <t xml:space="preserve">锁号: </t>
  </si>
  <si>
    <t>Temp:</t>
  </si>
  <si>
    <t xml:space="preserve">PORT: LCB- </t>
  </si>
  <si>
    <t xml:space="preserve">预计离港时间: </t>
  </si>
  <si>
    <t>预计到时间:</t>
  </si>
  <si>
    <t>คืนตู้ 还柜时间:</t>
  </si>
  <si>
    <t>YITONG</t>
  </si>
  <si>
    <t>18/06/2025 16:10:53</t>
  </si>
  <si>
    <t>18/06/2025 16:11:50</t>
  </si>
  <si>
    <t>18/06/2025 16:38:05</t>
  </si>
  <si>
    <t xml:space="preserve">(海运) </t>
  </si>
  <si>
    <t>Vent:</t>
  </si>
  <si>
    <t>18/06/2025 17:45:01</t>
  </si>
  <si>
    <t>点放柜(Hrs.)</t>
  </si>
  <si>
    <t>รับตู้  2025/6/14  (中国蛇口NANSHA)</t>
  </si>
  <si>
    <t>正远 第 14 柜 山竹 (海运)</t>
  </si>
  <si>
    <t>ZHENG YUAN 14 รถใส่มังคุด(ทางเรือ)</t>
  </si>
  <si>
    <t>件数จำนวน: 1350 PLASTIC BASKETS</t>
  </si>
  <si>
    <t>FOB 1.55 | CIF 1.67</t>
  </si>
  <si>
    <t xml:space="preserve">NW: 14.00KG|GW: 16.00KG  </t>
  </si>
  <si>
    <t>司机: สำเริง จันทร์ไชย</t>
  </si>
  <si>
    <t>电话: 062-152-4501</t>
  </si>
  <si>
    <t>车牌: 67-1003 กทม/68 - 8322 กทม(พี่แก้ม)</t>
  </si>
  <si>
    <t>Booking: HASLS22250601354</t>
  </si>
  <si>
    <t xml:space="preserve">柜号: FSCU5868324 </t>
  </si>
  <si>
    <t>锁号: HAS1009167</t>
  </si>
  <si>
    <t>设置温度11C/风5%</t>
  </si>
  <si>
    <t>ข้างนอกตั้ง11C/เว้น5%</t>
  </si>
  <si>
    <t xml:space="preserve"> ล้งเฮียต่ง(เมืองจันทบุรี)</t>
  </si>
  <si>
    <t>เบอร์แผง: 091-9399916</t>
  </si>
  <si>
    <t>PORT: LCB-NANSHA</t>
  </si>
  <si>
    <t>预计离港时间: 2025/6/18</t>
  </si>
  <si>
    <t>预计到时间: 2025/6/22</t>
  </si>
  <si>
    <t>คืนตู้ 还柜时间: 16/06/2025 23:59</t>
  </si>
  <si>
    <t>OTPU6621182</t>
  </si>
  <si>
    <t>SITW624595</t>
  </si>
  <si>
    <t>SZLU6034952</t>
  </si>
  <si>
    <t>SITW671763</t>
  </si>
  <si>
    <t>FBIU5562837</t>
  </si>
  <si>
    <t>KMC693358</t>
  </si>
  <si>
    <t>SEGU9040630</t>
  </si>
  <si>
    <t>KMC693208</t>
  </si>
  <si>
    <t>FSCU5909700</t>
  </si>
  <si>
    <t>18/06/2025 18:58:20</t>
  </si>
  <si>
    <t>20/06/2025 18:00</t>
  </si>
  <si>
    <t>TS TIANJIN 25006N</t>
  </si>
  <si>
    <t>HAL495922</t>
  </si>
  <si>
    <t>18/06/2025 19:06:04</t>
  </si>
  <si>
    <t>18/06/2025 23:59</t>
  </si>
  <si>
    <t>ซือโค่ว</t>
  </si>
  <si>
    <t>หนานซา</t>
  </si>
  <si>
    <t>ท่าเรือแหลมฉบัง-</t>
  </si>
  <si>
    <t>ฉินโจว</t>
  </si>
  <si>
    <t>18/06/2025 19:25:52</t>
  </si>
  <si>
    <t>18/06/2025 19:26:13</t>
  </si>
  <si>
    <t>18/06/2025 19:30:22</t>
  </si>
  <si>
    <t>18/06/2025 19:43:43</t>
  </si>
  <si>
    <t>OTPU6143838</t>
  </si>
  <si>
    <t>KMC693219</t>
  </si>
  <si>
    <t>ฮ่องกง</t>
  </si>
  <si>
    <t>70-7603 / 70-7604</t>
  </si>
  <si>
    <t>18/06/2025 20:14:14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</si>
</sst>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[$-F800]dddd\,\ mmmm\ dd\,\ yyyy"/>
    <numFmt numFmtId="166" formatCode="_-* #,##0.00_-;\-* #,##0.00_-;_-* &quot;-&quot;??_-;_-@"/>
    <numFmt numFmtId="167" formatCode="yyyy/m/d"/>
    <numFmt numFmtId="168" formatCode="d/m/yyyy"/>
    <numFmt numFmtId="169" formatCode="mm/dd/yyyy\ h:mm"/>
    <numFmt numFmtId="170" formatCode="dd/mm/yyyy\ h:mm"/>
    <numFmt numFmtId="171" formatCode="yyyy/mm/dd"/>
  </numFmts>
  <fonts count="5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0"/>
      <color theme="0"/>
      <name val="Calibri"/>
      <family val="2"/>
    </font>
    <font>
      <b/>
      <sz val="10"/>
      <color theme="1"/>
      <name val="Calibri"/>
      <family val="2"/>
    </font>
    <font>
      <sz val="10"/>
      <color rgb="FFC00000"/>
      <name val="Calibri"/>
      <family val="2"/>
    </font>
    <font>
      <sz val="10"/>
      <color theme="1"/>
      <name val="Leelawadee"/>
      <family val="2"/>
    </font>
    <font>
      <b/>
      <sz val="11"/>
      <color theme="1"/>
      <name val="Calibri"/>
      <family val="2"/>
    </font>
    <font>
      <sz val="10"/>
      <color rgb="FF444444"/>
      <name val="Calibri"/>
      <family val="2"/>
    </font>
    <font>
      <sz val="10"/>
      <color rgb="FFD8D8D8"/>
      <name val="Calibri"/>
      <family val="2"/>
    </font>
    <font>
      <b/>
      <u/>
      <sz val="10"/>
      <color theme="1"/>
      <name val="Calibri"/>
      <family val="2"/>
    </font>
    <font>
      <b/>
      <sz val="10"/>
      <color rgb="FFFF0000"/>
      <name val="Calibri"/>
      <family val="2"/>
    </font>
    <font>
      <b/>
      <u/>
      <sz val="10"/>
      <color theme="1"/>
      <name val="Calibri"/>
      <family val="2"/>
    </font>
    <font>
      <sz val="11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sz val="8"/>
      <name val="Calibri"/>
      <family val="2"/>
      <scheme val="minor"/>
    </font>
    <font>
      <sz val="9"/>
      <color rgb="FF000000"/>
      <name val="ArialUnicode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8"/>
      <name val="Calibri"/>
      <family val="2"/>
    </font>
    <font>
      <b/>
      <sz val="14"/>
      <color theme="1"/>
      <name val="Calibri"/>
      <family val="2"/>
      <scheme val="minor"/>
    </font>
    <font>
      <sz val="10"/>
      <color rgb="FF2E75B5"/>
      <name val="Calibri"/>
      <family val="2"/>
    </font>
    <font>
      <sz val="11"/>
      <color rgb="FF00000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rgb="FF6699FF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70C0"/>
      <name val="Calibri"/>
      <family val="2"/>
    </font>
    <font>
      <sz val="11"/>
      <color theme="1"/>
      <name val="Cordia New"/>
      <family val="2"/>
    </font>
    <font>
      <sz val="11"/>
      <color theme="1"/>
      <name val="Angsana New"/>
      <family val="1"/>
    </font>
    <font>
      <sz val="11"/>
      <color theme="1"/>
      <name val="SimSun"/>
    </font>
    <font>
      <sz val="11"/>
      <color theme="1"/>
      <name val="MS Gothic"/>
      <family val="3"/>
    </font>
    <font>
      <sz val="11"/>
      <color theme="1"/>
      <name val="Microsoft JhengHei"/>
      <family val="2"/>
    </font>
  </fonts>
  <fills count="43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rgb="FF00B0F0"/>
      </patternFill>
    </fill>
    <fill>
      <patternFill patternType="solid">
        <fgColor rgb="FF00B050"/>
        <bgColor rgb="FF00B050"/>
      </patternFill>
    </fill>
    <fill>
      <patternFill patternType="solid">
        <fgColor rgb="FFD8D8D8"/>
        <bgColor rgb="FFD8D8D8"/>
      </patternFill>
    </fill>
    <fill>
      <patternFill patternType="solid">
        <fgColor rgb="FFFF0000"/>
        <bgColor rgb="FFFF0000"/>
      </patternFill>
    </fill>
    <fill>
      <patternFill patternType="solid">
        <fgColor rgb="FFDADADA"/>
        <bgColor rgb="FFDADADA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D8D8D8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D8D8D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D8D8D8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D8D8D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D8D8D8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D8D8D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D8D8D8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D8D8D8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D8D8D8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 tint="-4.9989318521683403E-2"/>
        <bgColor rgb="FFD8D8D8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2">
    <xf numFmtId="165" fontId="0" fillId="0" borderId="0"/>
    <xf numFmtId="164" fontId="32" fillId="0" borderId="0" applyFont="0" applyFill="0" applyBorder="0" applyAlignment="0" applyProtection="0"/>
  </cellStyleXfs>
  <cellXfs count="839">
    <xf numFmtId="165" fontId="0" fillId="0" borderId="0" xfId="0"/>
    <xf numFmtId="165" fontId="15" fillId="0" borderId="1" xfId="0" applyFont="1" applyBorder="1" applyAlignment="1">
      <alignment horizontal="center"/>
    </xf>
    <xf numFmtId="165" fontId="15" fillId="0" borderId="1" xfId="0" applyFont="1" applyBorder="1" applyAlignment="1">
      <alignment horizontal="center" vertical="center"/>
    </xf>
    <xf numFmtId="165" fontId="15" fillId="2" borderId="2" xfId="0" applyFont="1" applyFill="1" applyBorder="1" applyAlignment="1">
      <alignment horizontal="center" vertical="center"/>
    </xf>
    <xf numFmtId="165" fontId="15" fillId="2" borderId="2" xfId="0" applyFont="1" applyFill="1" applyBorder="1" applyAlignment="1">
      <alignment vertical="center"/>
    </xf>
    <xf numFmtId="165" fontId="15" fillId="0" borderId="0" xfId="0" applyFont="1" applyAlignment="1">
      <alignment horizontal="center"/>
    </xf>
    <xf numFmtId="165" fontId="15" fillId="0" borderId="0" xfId="0" applyFont="1" applyAlignment="1">
      <alignment horizontal="center" vertical="center"/>
    </xf>
    <xf numFmtId="165" fontId="15" fillId="0" borderId="0" xfId="0" applyFont="1" applyAlignment="1">
      <alignment vertical="center"/>
    </xf>
    <xf numFmtId="165" fontId="15" fillId="0" borderId="0" xfId="0" applyFont="1" applyAlignment="1">
      <alignment vertical="center" wrapText="1"/>
    </xf>
    <xf numFmtId="165" fontId="15" fillId="0" borderId="0" xfId="0" quotePrefix="1" applyFont="1" applyAlignment="1">
      <alignment vertical="center"/>
    </xf>
    <xf numFmtId="165" fontId="15" fillId="2" borderId="2" xfId="0" applyFont="1" applyFill="1" applyBorder="1" applyAlignment="1">
      <alignment vertical="center" wrapText="1"/>
    </xf>
    <xf numFmtId="165" fontId="16" fillId="0" borderId="0" xfId="0" applyFont="1" applyAlignment="1">
      <alignment vertical="center"/>
    </xf>
    <xf numFmtId="165" fontId="16" fillId="0" borderId="0" xfId="0" applyFont="1" applyAlignment="1">
      <alignment vertical="center" wrapText="1"/>
    </xf>
    <xf numFmtId="165" fontId="16" fillId="0" borderId="0" xfId="0" applyFont="1" applyAlignment="1">
      <alignment wrapText="1"/>
    </xf>
    <xf numFmtId="165" fontId="15" fillId="0" borderId="0" xfId="0" quotePrefix="1" applyFont="1" applyAlignment="1">
      <alignment vertical="center" wrapText="1"/>
    </xf>
    <xf numFmtId="165" fontId="15" fillId="0" borderId="0" xfId="0" applyFont="1"/>
    <xf numFmtId="165" fontId="17" fillId="0" borderId="0" xfId="0" applyFont="1" applyAlignment="1">
      <alignment vertical="center"/>
    </xf>
    <xf numFmtId="165" fontId="15" fillId="0" borderId="0" xfId="0" applyFont="1" applyAlignment="1">
      <alignment wrapText="1"/>
    </xf>
    <xf numFmtId="165" fontId="15" fillId="0" borderId="0" xfId="0" applyFont="1" applyAlignment="1">
      <alignment horizontal="left" vertical="center" wrapText="1"/>
    </xf>
    <xf numFmtId="165" fontId="17" fillId="0" borderId="0" xfId="0" applyFont="1" applyAlignment="1">
      <alignment horizontal="left" vertical="center"/>
    </xf>
    <xf numFmtId="165" fontId="15" fillId="2" borderId="3" xfId="0" applyFont="1" applyFill="1" applyBorder="1" applyAlignment="1">
      <alignment horizontal="center" vertical="center"/>
    </xf>
    <xf numFmtId="165" fontId="15" fillId="2" borderId="4" xfId="0" applyFont="1" applyFill="1" applyBorder="1" applyAlignment="1">
      <alignment vertical="center"/>
    </xf>
    <xf numFmtId="165" fontId="15" fillId="2" borderId="4" xfId="0" applyFont="1" applyFill="1" applyBorder="1" applyAlignment="1">
      <alignment vertical="center" wrapText="1"/>
    </xf>
    <xf numFmtId="0" fontId="15" fillId="3" borderId="5" xfId="0" applyNumberFormat="1" applyFont="1" applyFill="1" applyBorder="1" applyAlignment="1">
      <alignment horizontal="center"/>
    </xf>
    <xf numFmtId="0" fontId="15" fillId="0" borderId="0" xfId="0" applyNumberFormat="1" applyFont="1" applyAlignment="1">
      <alignment vertical="center"/>
    </xf>
    <xf numFmtId="0" fontId="15" fillId="0" borderId="0" xfId="0" applyNumberFormat="1" applyFont="1" applyAlignment="1">
      <alignment vertical="center" wrapText="1"/>
    </xf>
    <xf numFmtId="0" fontId="15" fillId="0" borderId="0" xfId="0" applyNumberFormat="1" applyFont="1"/>
    <xf numFmtId="166" fontId="15" fillId="0" borderId="0" xfId="0" quotePrefix="1" applyNumberFormat="1" applyFont="1" applyAlignment="1">
      <alignment horizontal="right" vertical="center"/>
    </xf>
    <xf numFmtId="166" fontId="15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9" fontId="15" fillId="0" borderId="0" xfId="0" quotePrefix="1" applyNumberFormat="1" applyFont="1" applyAlignment="1">
      <alignment horizontal="center" vertical="center"/>
    </xf>
    <xf numFmtId="165" fontId="15" fillId="0" borderId="0" xfId="0" applyFont="1" applyAlignment="1">
      <alignment horizontal="left" vertical="center"/>
    </xf>
    <xf numFmtId="165" fontId="18" fillId="0" borderId="0" xfId="0" applyFont="1"/>
    <xf numFmtId="166" fontId="16" fillId="0" borderId="0" xfId="0" quotePrefix="1" applyNumberFormat="1" applyFont="1" applyAlignment="1">
      <alignment horizontal="right" vertical="center"/>
    </xf>
    <xf numFmtId="165" fontId="15" fillId="0" borderId="0" xfId="0" quotePrefix="1" applyFont="1" applyAlignment="1">
      <alignment horizontal="center" vertical="center"/>
    </xf>
    <xf numFmtId="0" fontId="15" fillId="0" borderId="0" xfId="0" quotePrefix="1" applyNumberFormat="1" applyFont="1" applyAlignment="1">
      <alignment horizontal="right"/>
    </xf>
    <xf numFmtId="166" fontId="15" fillId="0" borderId="0" xfId="0" applyNumberFormat="1" applyFont="1" applyAlignment="1">
      <alignment horizontal="right" vertical="center"/>
    </xf>
    <xf numFmtId="166" fontId="15" fillId="0" borderId="0" xfId="0" applyNumberFormat="1" applyFont="1"/>
    <xf numFmtId="166" fontId="15" fillId="0" borderId="0" xfId="0" applyNumberFormat="1" applyFont="1" applyAlignment="1">
      <alignment vertical="center"/>
    </xf>
    <xf numFmtId="0" fontId="15" fillId="0" borderId="0" xfId="0" applyNumberFormat="1" applyFont="1" applyAlignment="1">
      <alignment horizontal="center"/>
    </xf>
    <xf numFmtId="165" fontId="15" fillId="0" borderId="0" xfId="0" applyFont="1" applyAlignment="1">
      <alignment horizontal="right" vertical="center"/>
    </xf>
    <xf numFmtId="1" fontId="15" fillId="0" borderId="0" xfId="0" applyNumberFormat="1" applyFont="1" applyAlignment="1">
      <alignment vertical="center"/>
    </xf>
    <xf numFmtId="1" fontId="15" fillId="0" borderId="0" xfId="0" applyNumberFormat="1" applyFont="1" applyAlignment="1">
      <alignment horizontal="left" vertical="center"/>
    </xf>
    <xf numFmtId="1" fontId="15" fillId="4" borderId="5" xfId="0" applyNumberFormat="1" applyFont="1" applyFill="1" applyBorder="1" applyAlignment="1">
      <alignment horizontal="center" vertical="center"/>
    </xf>
    <xf numFmtId="1" fontId="15" fillId="4" borderId="5" xfId="0" applyNumberFormat="1" applyFont="1" applyFill="1" applyBorder="1" applyAlignment="1">
      <alignment vertical="center"/>
    </xf>
    <xf numFmtId="167" fontId="19" fillId="5" borderId="6" xfId="0" applyNumberFormat="1" applyFont="1" applyFill="1" applyBorder="1" applyAlignment="1">
      <alignment horizontal="center" vertical="center"/>
    </xf>
    <xf numFmtId="165" fontId="19" fillId="5" borderId="6" xfId="0" applyFont="1" applyFill="1" applyBorder="1" applyAlignment="1">
      <alignment horizontal="center" vertical="center"/>
    </xf>
    <xf numFmtId="0" fontId="19" fillId="5" borderId="6" xfId="0" applyNumberFormat="1" applyFont="1" applyFill="1" applyBorder="1" applyAlignment="1">
      <alignment horizontal="center" vertical="center"/>
    </xf>
    <xf numFmtId="165" fontId="19" fillId="6" borderId="6" xfId="0" applyFont="1" applyFill="1" applyBorder="1" applyAlignment="1">
      <alignment horizontal="center" vertical="center"/>
    </xf>
    <xf numFmtId="166" fontId="19" fillId="6" borderId="6" xfId="0" applyNumberFormat="1" applyFont="1" applyFill="1" applyBorder="1" applyAlignment="1">
      <alignment horizontal="center" vertical="center"/>
    </xf>
    <xf numFmtId="0" fontId="19" fillId="6" borderId="6" xfId="0" applyNumberFormat="1" applyFont="1" applyFill="1" applyBorder="1" applyAlignment="1">
      <alignment horizontal="center" vertical="center"/>
    </xf>
    <xf numFmtId="2" fontId="19" fillId="6" borderId="6" xfId="0" applyNumberFormat="1" applyFont="1" applyFill="1" applyBorder="1" applyAlignment="1">
      <alignment horizontal="center" vertical="center"/>
    </xf>
    <xf numFmtId="165" fontId="19" fillId="6" borderId="6" xfId="0" applyFont="1" applyFill="1" applyBorder="1" applyAlignment="1">
      <alignment horizontal="left" vertical="center"/>
    </xf>
    <xf numFmtId="165" fontId="19" fillId="5" borderId="6" xfId="0" applyFont="1" applyFill="1" applyBorder="1" applyAlignment="1">
      <alignment vertical="center"/>
    </xf>
    <xf numFmtId="165" fontId="15" fillId="5" borderId="6" xfId="0" applyFont="1" applyFill="1" applyBorder="1" applyAlignment="1">
      <alignment horizontal="center" vertical="center"/>
    </xf>
    <xf numFmtId="165" fontId="20" fillId="4" borderId="6" xfId="0" applyFont="1" applyFill="1" applyBorder="1" applyAlignment="1">
      <alignment horizontal="center" vertical="center"/>
    </xf>
    <xf numFmtId="167" fontId="20" fillId="4" borderId="6" xfId="0" applyNumberFormat="1" applyFont="1" applyFill="1" applyBorder="1" applyAlignment="1">
      <alignment horizontal="center" vertical="center"/>
    </xf>
    <xf numFmtId="2" fontId="20" fillId="4" borderId="6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67" fontId="15" fillId="0" borderId="0" xfId="0" applyNumberFormat="1" applyFont="1" applyAlignment="1">
      <alignment horizontal="center" vertical="center"/>
    </xf>
    <xf numFmtId="165" fontId="15" fillId="0" borderId="0" xfId="0" quotePrefix="1" applyFont="1" applyAlignment="1">
      <alignment horizontal="left" vertical="center"/>
    </xf>
    <xf numFmtId="165" fontId="21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5" fontId="15" fillId="7" borderId="5" xfId="0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2" fontId="15" fillId="7" borderId="5" xfId="0" applyNumberFormat="1" applyFont="1" applyFill="1" applyBorder="1" applyAlignment="1">
      <alignment horizontal="center" vertical="center"/>
    </xf>
    <xf numFmtId="2" fontId="15" fillId="7" borderId="5" xfId="0" applyNumberFormat="1" applyFont="1" applyFill="1" applyBorder="1" applyAlignment="1">
      <alignment vertical="center"/>
    </xf>
    <xf numFmtId="2" fontId="15" fillId="0" borderId="0" xfId="0" quotePrefix="1" applyNumberFormat="1" applyFont="1" applyAlignment="1">
      <alignment horizontal="center" vertical="center"/>
    </xf>
    <xf numFmtId="165" fontId="18" fillId="0" borderId="0" xfId="0" applyFont="1" applyAlignment="1">
      <alignment horizontal="center" vertical="center"/>
    </xf>
    <xf numFmtId="165" fontId="22" fillId="0" borderId="0" xfId="0" applyFont="1" applyAlignment="1">
      <alignment horizontal="center" vertical="center"/>
    </xf>
    <xf numFmtId="165" fontId="15" fillId="8" borderId="5" xfId="0" applyFont="1" applyFill="1" applyBorder="1" applyAlignment="1">
      <alignment horizontal="center" vertical="center"/>
    </xf>
    <xf numFmtId="167" fontId="15" fillId="8" borderId="5" xfId="0" applyNumberFormat="1" applyFont="1" applyFill="1" applyBorder="1" applyAlignment="1">
      <alignment horizontal="center" vertical="center"/>
    </xf>
    <xf numFmtId="0" fontId="15" fillId="8" borderId="5" xfId="0" applyNumberFormat="1" applyFont="1" applyFill="1" applyBorder="1" applyAlignment="1">
      <alignment horizontal="center" vertical="center"/>
    </xf>
    <xf numFmtId="165" fontId="15" fillId="8" borderId="5" xfId="0" quotePrefix="1" applyFont="1" applyFill="1" applyBorder="1" applyAlignment="1">
      <alignment vertical="center"/>
    </xf>
    <xf numFmtId="165" fontId="15" fillId="8" borderId="5" xfId="0" applyFont="1" applyFill="1" applyBorder="1" applyAlignment="1">
      <alignment vertical="center"/>
    </xf>
    <xf numFmtId="165" fontId="21" fillId="8" borderId="5" xfId="0" applyFont="1" applyFill="1" applyBorder="1" applyAlignment="1">
      <alignment horizontal="center" vertical="center"/>
    </xf>
    <xf numFmtId="166" fontId="15" fillId="8" borderId="5" xfId="0" applyNumberFormat="1" applyFont="1" applyFill="1" applyBorder="1" applyAlignment="1">
      <alignment horizontal="right" vertical="center"/>
    </xf>
    <xf numFmtId="166" fontId="15" fillId="8" borderId="5" xfId="0" applyNumberFormat="1" applyFont="1" applyFill="1" applyBorder="1" applyAlignment="1">
      <alignment horizontal="center" vertical="center"/>
    </xf>
    <xf numFmtId="1" fontId="15" fillId="8" borderId="5" xfId="0" applyNumberFormat="1" applyFont="1" applyFill="1" applyBorder="1" applyAlignment="1">
      <alignment horizontal="center" vertical="center"/>
    </xf>
    <xf numFmtId="2" fontId="15" fillId="8" borderId="5" xfId="0" applyNumberFormat="1" applyFont="1" applyFill="1" applyBorder="1" applyAlignment="1">
      <alignment horizontal="center" vertical="center"/>
    </xf>
    <xf numFmtId="165" fontId="15" fillId="8" borderId="5" xfId="0" applyFont="1" applyFill="1" applyBorder="1" applyAlignment="1">
      <alignment horizontal="left" vertical="center"/>
    </xf>
    <xf numFmtId="167" fontId="16" fillId="8" borderId="5" xfId="0" applyNumberFormat="1" applyFont="1" applyFill="1" applyBorder="1" applyAlignment="1">
      <alignment horizontal="center" vertical="center"/>
    </xf>
    <xf numFmtId="2" fontId="15" fillId="8" borderId="5" xfId="0" applyNumberFormat="1" applyFont="1" applyFill="1" applyBorder="1" applyAlignment="1">
      <alignment vertical="center"/>
    </xf>
    <xf numFmtId="165" fontId="18" fillId="8" borderId="5" xfId="0" applyFont="1" applyFill="1" applyBorder="1"/>
    <xf numFmtId="165" fontId="22" fillId="8" borderId="5" xfId="0" applyFont="1" applyFill="1" applyBorder="1" applyAlignment="1">
      <alignment horizontal="center" vertical="center"/>
    </xf>
    <xf numFmtId="165" fontId="15" fillId="0" borderId="0" xfId="0" applyFont="1" applyAlignment="1">
      <alignment horizontal="center" vertical="center" wrapText="1"/>
    </xf>
    <xf numFmtId="165" fontId="22" fillId="0" borderId="0" xfId="0" applyFont="1"/>
    <xf numFmtId="165" fontId="15" fillId="8" borderId="5" xfId="0" applyFont="1" applyFill="1" applyBorder="1" applyAlignment="1">
      <alignment horizontal="center"/>
    </xf>
    <xf numFmtId="0" fontId="16" fillId="8" borderId="5" xfId="0" applyNumberFormat="1" applyFont="1" applyFill="1" applyBorder="1" applyAlignment="1">
      <alignment horizontal="center" vertical="center"/>
    </xf>
    <xf numFmtId="165" fontId="22" fillId="8" borderId="5" xfId="0" applyFont="1" applyFill="1" applyBorder="1"/>
    <xf numFmtId="165" fontId="18" fillId="8" borderId="5" xfId="0" applyFont="1" applyFill="1" applyBorder="1" applyAlignment="1">
      <alignment horizontal="center"/>
    </xf>
    <xf numFmtId="0" fontId="16" fillId="3" borderId="5" xfId="0" applyNumberFormat="1" applyFont="1" applyFill="1" applyBorder="1" applyAlignment="1">
      <alignment horizontal="center" vertical="center"/>
    </xf>
    <xf numFmtId="9" fontId="16" fillId="3" borderId="5" xfId="0" applyNumberFormat="1" applyFont="1" applyFill="1" applyBorder="1" applyAlignment="1">
      <alignment horizontal="center" vertical="center"/>
    </xf>
    <xf numFmtId="165" fontId="22" fillId="0" borderId="0" xfId="0" applyFont="1" applyAlignment="1">
      <alignment horizontal="center"/>
    </xf>
    <xf numFmtId="9" fontId="16" fillId="3" borderId="5" xfId="0" quotePrefix="1" applyNumberFormat="1" applyFont="1" applyFill="1" applyBorder="1" applyAlignment="1">
      <alignment horizontal="center" vertical="center"/>
    </xf>
    <xf numFmtId="165" fontId="22" fillId="8" borderId="5" xfId="0" applyFont="1" applyFill="1" applyBorder="1" applyAlignment="1">
      <alignment horizontal="center"/>
    </xf>
    <xf numFmtId="2" fontId="15" fillId="0" borderId="0" xfId="0" quotePrefix="1" applyNumberFormat="1" applyFont="1" applyAlignment="1">
      <alignment horizontal="left" vertical="center"/>
    </xf>
    <xf numFmtId="2" fontId="15" fillId="8" borderId="5" xfId="0" quotePrefix="1" applyNumberFormat="1" applyFont="1" applyFill="1" applyBorder="1" applyAlignment="1">
      <alignment horizontal="left" vertical="center"/>
    </xf>
    <xf numFmtId="165" fontId="15" fillId="8" borderId="5" xfId="0" applyFont="1" applyFill="1" applyBorder="1"/>
    <xf numFmtId="1" fontId="15" fillId="0" borderId="7" xfId="0" applyNumberFormat="1" applyFont="1" applyBorder="1" applyAlignment="1">
      <alignment horizontal="center" vertical="center"/>
    </xf>
    <xf numFmtId="2" fontId="15" fillId="0" borderId="0" xfId="0" quotePrefix="1" applyNumberFormat="1" applyFont="1" applyAlignment="1">
      <alignment vertical="center"/>
    </xf>
    <xf numFmtId="2" fontId="15" fillId="8" borderId="5" xfId="0" applyNumberFormat="1" applyFont="1" applyFill="1" applyBorder="1" applyAlignment="1">
      <alignment horizontal="left" vertical="center"/>
    </xf>
    <xf numFmtId="0" fontId="15" fillId="8" borderId="5" xfId="0" applyNumberFormat="1" applyFont="1" applyFill="1" applyBorder="1"/>
    <xf numFmtId="9" fontId="16" fillId="8" borderId="5" xfId="0" quotePrefix="1" applyNumberFormat="1" applyFont="1" applyFill="1" applyBorder="1" applyAlignment="1">
      <alignment horizontal="center" vertical="center"/>
    </xf>
    <xf numFmtId="165" fontId="15" fillId="7" borderId="5" xfId="0" applyFont="1" applyFill="1" applyBorder="1" applyAlignment="1">
      <alignment horizontal="center"/>
    </xf>
    <xf numFmtId="167" fontId="15" fillId="9" borderId="5" xfId="0" applyNumberFormat="1" applyFont="1" applyFill="1" applyBorder="1" applyAlignment="1">
      <alignment horizontal="center" vertical="center"/>
    </xf>
    <xf numFmtId="2" fontId="15" fillId="9" borderId="5" xfId="0" applyNumberFormat="1" applyFont="1" applyFill="1" applyBorder="1" applyAlignment="1">
      <alignment horizontal="center" vertical="center"/>
    </xf>
    <xf numFmtId="165" fontId="18" fillId="7" borderId="5" xfId="0" applyFont="1" applyFill="1" applyBorder="1" applyAlignment="1">
      <alignment horizontal="center"/>
    </xf>
    <xf numFmtId="0" fontId="18" fillId="0" borderId="0" xfId="0" applyNumberFormat="1" applyFont="1"/>
    <xf numFmtId="0" fontId="16" fillId="0" borderId="0" xfId="0" applyNumberFormat="1" applyFont="1" applyAlignment="1">
      <alignment horizontal="center" vertical="center"/>
    </xf>
    <xf numFmtId="167" fontId="15" fillId="0" borderId="0" xfId="0" applyNumberFormat="1" applyFont="1" applyAlignment="1">
      <alignment vertical="center"/>
    </xf>
    <xf numFmtId="167" fontId="18" fillId="0" borderId="0" xfId="0" applyNumberFormat="1" applyFont="1"/>
    <xf numFmtId="165" fontId="18" fillId="0" borderId="0" xfId="0" applyFont="1" applyAlignment="1">
      <alignment horizontal="center"/>
    </xf>
    <xf numFmtId="166" fontId="18" fillId="0" borderId="0" xfId="0" applyNumberFormat="1" applyFont="1"/>
    <xf numFmtId="0" fontId="18" fillId="0" borderId="0" xfId="0" applyNumberFormat="1" applyFont="1" applyAlignment="1">
      <alignment horizontal="center"/>
    </xf>
    <xf numFmtId="167" fontId="18" fillId="0" borderId="0" xfId="0" applyNumberFormat="1" applyFont="1" applyAlignment="1">
      <alignment horizontal="center"/>
    </xf>
    <xf numFmtId="2" fontId="18" fillId="0" borderId="0" xfId="0" applyNumberFormat="1" applyFont="1"/>
    <xf numFmtId="165" fontId="23" fillId="0" borderId="0" xfId="0" applyFont="1" applyAlignment="1">
      <alignment horizontal="center" vertical="center"/>
    </xf>
    <xf numFmtId="165" fontId="24" fillId="0" borderId="11" xfId="0" applyFont="1" applyBorder="1"/>
    <xf numFmtId="165" fontId="25" fillId="0" borderId="0" xfId="0" applyFont="1" applyAlignment="1">
      <alignment vertical="center"/>
    </xf>
    <xf numFmtId="165" fontId="20" fillId="0" borderId="0" xfId="0" applyFont="1" applyAlignment="1">
      <alignment horizontal="center" vertical="center"/>
    </xf>
    <xf numFmtId="165" fontId="20" fillId="0" borderId="0" xfId="0" applyFont="1" applyAlignment="1">
      <alignment vertical="center"/>
    </xf>
    <xf numFmtId="165" fontId="20" fillId="0" borderId="0" xfId="0" applyFont="1" applyAlignment="1">
      <alignment horizontal="left" vertical="center"/>
    </xf>
    <xf numFmtId="168" fontId="20" fillId="0" borderId="0" xfId="0" applyNumberFormat="1" applyFont="1" applyAlignment="1">
      <alignment horizontal="center" vertical="center"/>
    </xf>
    <xf numFmtId="165" fontId="15" fillId="0" borderId="7" xfId="0" applyFont="1" applyBorder="1"/>
    <xf numFmtId="165" fontId="15" fillId="0" borderId="13" xfId="0" applyFont="1" applyBorder="1"/>
    <xf numFmtId="165" fontId="26" fillId="0" borderId="0" xfId="0" applyFont="1" applyAlignment="1">
      <alignment vertical="center"/>
    </xf>
    <xf numFmtId="165" fontId="15" fillId="0" borderId="14" xfId="0" applyFont="1" applyBorder="1"/>
    <xf numFmtId="165" fontId="15" fillId="0" borderId="15" xfId="0" applyFont="1" applyBorder="1"/>
    <xf numFmtId="165" fontId="15" fillId="0" borderId="11" xfId="0" applyFont="1" applyBorder="1"/>
    <xf numFmtId="165" fontId="15" fillId="0" borderId="7" xfId="0" applyFont="1" applyBorder="1" applyAlignment="1">
      <alignment horizontal="left"/>
    </xf>
    <xf numFmtId="0" fontId="28" fillId="0" borderId="0" xfId="0" applyNumberFormat="1" applyFont="1" applyAlignment="1">
      <alignment vertical="center"/>
    </xf>
    <xf numFmtId="165" fontId="15" fillId="0" borderId="16" xfId="0" applyFont="1" applyBorder="1" applyAlignment="1">
      <alignment horizontal="center" vertical="center"/>
    </xf>
    <xf numFmtId="165" fontId="15" fillId="0" borderId="17" xfId="0" applyFont="1" applyBorder="1" applyAlignment="1">
      <alignment horizontal="center" vertical="center"/>
    </xf>
    <xf numFmtId="165" fontId="15" fillId="0" borderId="18" xfId="0" applyFont="1" applyBorder="1" applyAlignment="1">
      <alignment horizontal="center" vertical="center"/>
    </xf>
    <xf numFmtId="165" fontId="15" fillId="0" borderId="19" xfId="0" applyFont="1" applyBorder="1" applyAlignment="1">
      <alignment horizontal="center" vertical="center"/>
    </xf>
    <xf numFmtId="165" fontId="20" fillId="0" borderId="17" xfId="0" applyFont="1" applyBorder="1"/>
    <xf numFmtId="165" fontId="15" fillId="0" borderId="19" xfId="0" applyFont="1" applyBorder="1"/>
    <xf numFmtId="165" fontId="15" fillId="0" borderId="20" xfId="0" applyFont="1" applyBorder="1" applyAlignment="1">
      <alignment vertical="center"/>
    </xf>
    <xf numFmtId="165" fontId="15" fillId="0" borderId="21" xfId="0" applyFont="1" applyBorder="1" applyAlignment="1">
      <alignment vertical="center"/>
    </xf>
    <xf numFmtId="165" fontId="20" fillId="0" borderId="16" xfId="0" applyFont="1" applyBorder="1" applyAlignment="1">
      <alignment vertical="center"/>
    </xf>
    <xf numFmtId="165" fontId="20" fillId="0" borderId="15" xfId="0" applyFont="1" applyBorder="1" applyAlignment="1">
      <alignment vertical="center"/>
    </xf>
    <xf numFmtId="4" fontId="15" fillId="0" borderId="0" xfId="0" applyNumberFormat="1" applyFont="1" applyAlignment="1">
      <alignment vertical="center"/>
    </xf>
    <xf numFmtId="165" fontId="15" fillId="0" borderId="20" xfId="0" applyFont="1" applyBorder="1" applyAlignment="1">
      <alignment horizontal="center" vertical="center"/>
    </xf>
    <xf numFmtId="3" fontId="15" fillId="0" borderId="20" xfId="0" applyNumberFormat="1" applyFont="1" applyBorder="1" applyAlignment="1">
      <alignment horizontal="center" vertical="center"/>
    </xf>
    <xf numFmtId="165" fontId="15" fillId="0" borderId="21" xfId="0" applyFont="1" applyBorder="1" applyAlignment="1">
      <alignment horizontal="center" vertical="center"/>
    </xf>
    <xf numFmtId="166" fontId="15" fillId="0" borderId="20" xfId="0" applyNumberFormat="1" applyFont="1" applyBorder="1" applyAlignment="1">
      <alignment horizontal="center" vertical="center"/>
    </xf>
    <xf numFmtId="2" fontId="15" fillId="0" borderId="20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165" fontId="20" fillId="0" borderId="14" xfId="0" applyFont="1" applyBorder="1"/>
    <xf numFmtId="165" fontId="20" fillId="0" borderId="15" xfId="0" applyFont="1" applyBorder="1"/>
    <xf numFmtId="4" fontId="15" fillId="0" borderId="20" xfId="0" applyNumberFormat="1" applyFont="1" applyBorder="1" applyAlignment="1">
      <alignment vertical="center"/>
    </xf>
    <xf numFmtId="165" fontId="20" fillId="0" borderId="21" xfId="0" applyFont="1" applyBorder="1"/>
    <xf numFmtId="1" fontId="20" fillId="0" borderId="24" xfId="0" applyNumberFormat="1" applyFont="1" applyBorder="1" applyAlignment="1">
      <alignment horizontal="center" vertical="center"/>
    </xf>
    <xf numFmtId="166" fontId="20" fillId="0" borderId="25" xfId="0" applyNumberFormat="1" applyFont="1" applyBorder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5" fillId="0" borderId="25" xfId="0" applyFont="1" applyBorder="1" applyAlignment="1">
      <alignment horizontal="center" vertical="center"/>
    </xf>
    <xf numFmtId="3" fontId="20" fillId="0" borderId="25" xfId="0" applyNumberFormat="1" applyFont="1" applyBorder="1" applyAlignment="1">
      <alignment horizontal="center" vertical="center"/>
    </xf>
    <xf numFmtId="165" fontId="20" fillId="0" borderId="25" xfId="0" applyFont="1" applyBorder="1" applyAlignment="1">
      <alignment horizontal="center" vertical="center"/>
    </xf>
    <xf numFmtId="165" fontId="20" fillId="0" borderId="24" xfId="0" applyFont="1" applyBorder="1" applyAlignment="1">
      <alignment horizontal="center" vertical="center"/>
    </xf>
    <xf numFmtId="3" fontId="15" fillId="0" borderId="0" xfId="0" applyNumberFormat="1" applyFont="1" applyAlignment="1">
      <alignment horizontal="left" vertical="center"/>
    </xf>
    <xf numFmtId="165" fontId="30" fillId="0" borderId="7" xfId="0" applyFont="1" applyBorder="1"/>
    <xf numFmtId="165" fontId="15" fillId="0" borderId="8" xfId="0" applyFont="1" applyBorder="1" applyAlignment="1">
      <alignment vertical="center"/>
    </xf>
    <xf numFmtId="165" fontId="15" fillId="0" borderId="9" xfId="0" applyFont="1" applyBorder="1" applyAlignment="1">
      <alignment vertical="center"/>
    </xf>
    <xf numFmtId="165" fontId="18" fillId="0" borderId="10" xfId="0" applyFont="1" applyBorder="1" applyAlignment="1">
      <alignment vertical="center"/>
    </xf>
    <xf numFmtId="165" fontId="18" fillId="0" borderId="12" xfId="0" applyFont="1" applyBorder="1" applyAlignment="1">
      <alignment horizontal="left" vertical="center"/>
    </xf>
    <xf numFmtId="165" fontId="20" fillId="0" borderId="7" xfId="0" applyFont="1" applyBorder="1"/>
    <xf numFmtId="165" fontId="15" fillId="0" borderId="26" xfId="0" applyFont="1" applyBorder="1" applyAlignment="1">
      <alignment vertical="center"/>
    </xf>
    <xf numFmtId="165" fontId="15" fillId="0" borderId="27" xfId="0" applyFont="1" applyBorder="1" applyAlignment="1">
      <alignment vertical="center"/>
    </xf>
    <xf numFmtId="0" fontId="16" fillId="0" borderId="0" xfId="0" applyNumberFormat="1" applyFont="1" applyAlignment="1">
      <alignment vertical="center"/>
    </xf>
    <xf numFmtId="165" fontId="15" fillId="0" borderId="11" xfId="0" applyFont="1" applyBorder="1" applyAlignment="1">
      <alignment vertical="center"/>
    </xf>
    <xf numFmtId="166" fontId="15" fillId="0" borderId="20" xfId="0" applyNumberFormat="1" applyFont="1" applyBorder="1" applyAlignment="1">
      <alignment vertical="center"/>
    </xf>
    <xf numFmtId="0" fontId="15" fillId="0" borderId="0" xfId="0" applyNumberFormat="1" applyFont="1" applyAlignment="1">
      <alignment horizontal="left" vertical="center"/>
    </xf>
    <xf numFmtId="166" fontId="20" fillId="0" borderId="22" xfId="0" applyNumberFormat="1" applyFont="1" applyBorder="1" applyAlignment="1">
      <alignment horizontal="center" vertical="center"/>
    </xf>
    <xf numFmtId="165" fontId="15" fillId="0" borderId="28" xfId="0" applyFont="1" applyBorder="1" applyAlignment="1">
      <alignment horizontal="center" vertical="center"/>
    </xf>
    <xf numFmtId="167" fontId="15" fillId="0" borderId="28" xfId="0" applyNumberFormat="1" applyFont="1" applyBorder="1" applyAlignment="1">
      <alignment horizontal="center" vertical="center"/>
    </xf>
    <xf numFmtId="0" fontId="15" fillId="0" borderId="28" xfId="0" applyNumberFormat="1" applyFont="1" applyBorder="1" applyAlignment="1">
      <alignment horizontal="center" vertical="center"/>
    </xf>
    <xf numFmtId="165" fontId="15" fillId="0" borderId="28" xfId="0" applyFont="1" applyBorder="1" applyAlignment="1">
      <alignment horizontal="left" vertical="center"/>
    </xf>
    <xf numFmtId="165" fontId="21" fillId="0" borderId="28" xfId="0" applyFont="1" applyBorder="1" applyAlignment="1">
      <alignment horizontal="center" vertical="center"/>
    </xf>
    <xf numFmtId="166" fontId="15" fillId="0" borderId="28" xfId="0" applyNumberFormat="1" applyFont="1" applyBorder="1" applyAlignment="1">
      <alignment horizontal="right" vertical="center"/>
    </xf>
    <xf numFmtId="166" fontId="15" fillId="0" borderId="28" xfId="0" applyNumberFormat="1" applyFont="1" applyBorder="1" applyAlignment="1">
      <alignment horizontal="center" vertical="center"/>
    </xf>
    <xf numFmtId="1" fontId="15" fillId="0" borderId="28" xfId="0" applyNumberFormat="1" applyFont="1" applyBorder="1" applyAlignment="1">
      <alignment horizontal="center" vertical="center"/>
    </xf>
    <xf numFmtId="2" fontId="15" fillId="0" borderId="28" xfId="0" applyNumberFormat="1" applyFont="1" applyBorder="1" applyAlignment="1">
      <alignment horizontal="center" vertical="center"/>
    </xf>
    <xf numFmtId="167" fontId="16" fillId="0" borderId="28" xfId="0" applyNumberFormat="1" applyFont="1" applyBorder="1" applyAlignment="1">
      <alignment horizontal="center" vertical="center"/>
    </xf>
    <xf numFmtId="165" fontId="15" fillId="7" borderId="28" xfId="0" applyFont="1" applyFill="1" applyBorder="1" applyAlignment="1">
      <alignment horizontal="center" vertical="center"/>
    </xf>
    <xf numFmtId="167" fontId="15" fillId="7" borderId="28" xfId="0" applyNumberFormat="1" applyFont="1" applyFill="1" applyBorder="1" applyAlignment="1">
      <alignment horizontal="center" vertical="center"/>
    </xf>
    <xf numFmtId="2" fontId="15" fillId="7" borderId="28" xfId="0" applyNumberFormat="1" applyFont="1" applyFill="1" applyBorder="1" applyAlignment="1">
      <alignment horizontal="center" vertical="center"/>
    </xf>
    <xf numFmtId="164" fontId="15" fillId="0" borderId="0" xfId="1" quotePrefix="1" applyFont="1" applyAlignment="1">
      <alignment horizontal="right"/>
    </xf>
    <xf numFmtId="164" fontId="15" fillId="0" borderId="0" xfId="1" applyFont="1"/>
    <xf numFmtId="166" fontId="15" fillId="0" borderId="5" xfId="0" applyNumberFormat="1" applyFont="1" applyBorder="1" applyAlignment="1">
      <alignment horizontal="right" vertical="center"/>
    </xf>
    <xf numFmtId="166" fontId="15" fillId="0" borderId="5" xfId="0" applyNumberFormat="1" applyFont="1" applyBorder="1" applyAlignment="1">
      <alignment horizontal="center" vertical="center"/>
    </xf>
    <xf numFmtId="1" fontId="15" fillId="0" borderId="5" xfId="0" applyNumberFormat="1" applyFont="1" applyBorder="1" applyAlignment="1">
      <alignment horizontal="center" vertical="center"/>
    </xf>
    <xf numFmtId="165" fontId="15" fillId="0" borderId="5" xfId="0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/>
    </xf>
    <xf numFmtId="0" fontId="33" fillId="0" borderId="23" xfId="0" applyNumberFormat="1" applyFont="1" applyBorder="1" applyAlignment="1">
      <alignment horizontal="left"/>
    </xf>
    <xf numFmtId="165" fontId="20" fillId="0" borderId="29" xfId="0" applyFont="1" applyBorder="1"/>
    <xf numFmtId="165" fontId="15" fillId="0" borderId="30" xfId="0" applyFont="1" applyBorder="1"/>
    <xf numFmtId="165" fontId="15" fillId="0" borderId="31" xfId="0" applyFont="1" applyBorder="1"/>
    <xf numFmtId="165" fontId="15" fillId="0" borderId="32" xfId="0" applyFont="1" applyBorder="1"/>
    <xf numFmtId="165" fontId="15" fillId="0" borderId="33" xfId="0" applyFont="1" applyBorder="1" applyAlignment="1">
      <alignment vertical="center"/>
    </xf>
    <xf numFmtId="165" fontId="24" fillId="0" borderId="5" xfId="0" applyFont="1" applyBorder="1"/>
    <xf numFmtId="165" fontId="15" fillId="0" borderId="5" xfId="0" applyFont="1" applyBorder="1"/>
    <xf numFmtId="165" fontId="20" fillId="0" borderId="5" xfId="0" applyFont="1" applyBorder="1" applyAlignment="1">
      <alignment horizontal="left"/>
    </xf>
    <xf numFmtId="165" fontId="15" fillId="0" borderId="34" xfId="0" applyFont="1" applyBorder="1"/>
    <xf numFmtId="165" fontId="25" fillId="0" borderId="5" xfId="0" applyFont="1" applyBorder="1" applyAlignment="1">
      <alignment vertical="center"/>
    </xf>
    <xf numFmtId="165" fontId="15" fillId="0" borderId="33" xfId="0" applyFont="1" applyBorder="1"/>
    <xf numFmtId="165" fontId="23" fillId="0" borderId="5" xfId="0" applyFont="1" applyBorder="1"/>
    <xf numFmtId="165" fontId="20" fillId="0" borderId="35" xfId="0" applyFont="1" applyBorder="1"/>
    <xf numFmtId="0" fontId="15" fillId="0" borderId="33" xfId="0" applyNumberFormat="1" applyFont="1" applyBorder="1" applyAlignment="1">
      <alignment vertical="center"/>
    </xf>
    <xf numFmtId="165" fontId="27" fillId="0" borderId="5" xfId="0" applyFont="1" applyBorder="1" applyAlignment="1">
      <alignment horizontal="left"/>
    </xf>
    <xf numFmtId="165" fontId="27" fillId="0" borderId="5" xfId="0" applyFont="1" applyBorder="1"/>
    <xf numFmtId="165" fontId="15" fillId="0" borderId="5" xfId="0" applyFont="1" applyBorder="1" applyAlignment="1">
      <alignment horizontal="left"/>
    </xf>
    <xf numFmtId="165" fontId="20" fillId="0" borderId="5" xfId="0" applyFont="1" applyBorder="1"/>
    <xf numFmtId="165" fontId="20" fillId="0" borderId="33" xfId="0" applyFont="1" applyBorder="1"/>
    <xf numFmtId="165" fontId="20" fillId="0" borderId="36" xfId="0" applyFont="1" applyBorder="1"/>
    <xf numFmtId="165" fontId="15" fillId="0" borderId="37" xfId="0" applyFont="1" applyBorder="1"/>
    <xf numFmtId="165" fontId="15" fillId="0" borderId="38" xfId="0" applyFont="1" applyBorder="1"/>
    <xf numFmtId="165" fontId="20" fillId="0" borderId="34" xfId="0" applyFont="1" applyBorder="1"/>
    <xf numFmtId="165" fontId="30" fillId="0" borderId="5" xfId="0" applyFont="1" applyBorder="1"/>
    <xf numFmtId="166" fontId="15" fillId="0" borderId="5" xfId="0" applyNumberFormat="1" applyFont="1" applyBorder="1"/>
    <xf numFmtId="17" fontId="15" fillId="0" borderId="33" xfId="0" applyNumberFormat="1" applyFont="1" applyBorder="1"/>
    <xf numFmtId="165" fontId="30" fillId="0" borderId="34" xfId="0" applyFont="1" applyBorder="1"/>
    <xf numFmtId="1" fontId="15" fillId="0" borderId="5" xfId="0" applyNumberFormat="1" applyFont="1" applyBorder="1" applyAlignment="1">
      <alignment horizontal="center"/>
    </xf>
    <xf numFmtId="165" fontId="15" fillId="0" borderId="5" xfId="0" applyFont="1" applyBorder="1" applyAlignment="1">
      <alignment vertical="center"/>
    </xf>
    <xf numFmtId="2" fontId="15" fillId="0" borderId="5" xfId="0" applyNumberFormat="1" applyFont="1" applyBorder="1" applyAlignment="1">
      <alignment vertical="center"/>
    </xf>
    <xf numFmtId="165" fontId="20" fillId="0" borderId="37" xfId="0" applyFont="1" applyBorder="1"/>
    <xf numFmtId="165" fontId="15" fillId="0" borderId="36" xfId="0" applyFont="1" applyBorder="1"/>
    <xf numFmtId="1" fontId="30" fillId="0" borderId="37" xfId="0" applyNumberFormat="1" applyFont="1" applyBorder="1"/>
    <xf numFmtId="165" fontId="31" fillId="0" borderId="33" xfId="0" applyFont="1" applyBorder="1"/>
    <xf numFmtId="165" fontId="15" fillId="0" borderId="39" xfId="0" applyFont="1" applyBorder="1"/>
    <xf numFmtId="165" fontId="15" fillId="0" borderId="28" xfId="0" applyFont="1" applyBorder="1"/>
    <xf numFmtId="165" fontId="15" fillId="0" borderId="40" xfId="0" applyFont="1" applyBorder="1"/>
    <xf numFmtId="165" fontId="15" fillId="0" borderId="11" xfId="0" applyFont="1" applyBorder="1" applyAlignment="1">
      <alignment horizontal="center" vertical="center"/>
    </xf>
    <xf numFmtId="0" fontId="15" fillId="0" borderId="41" xfId="0" applyNumberFormat="1" applyFont="1" applyBorder="1" applyAlignment="1">
      <alignment vertical="center"/>
    </xf>
    <xf numFmtId="0" fontId="34" fillId="0" borderId="33" xfId="0" applyNumberFormat="1" applyFont="1" applyBorder="1" applyAlignment="1">
      <alignment vertical="center"/>
    </xf>
    <xf numFmtId="165" fontId="15" fillId="0" borderId="42" xfId="0" applyFont="1" applyBorder="1"/>
    <xf numFmtId="165" fontId="15" fillId="0" borderId="43" xfId="0" applyFont="1" applyBorder="1" applyAlignment="1">
      <alignment horizontal="center" vertical="center"/>
    </xf>
    <xf numFmtId="165" fontId="15" fillId="0" borderId="44" xfId="0" applyFont="1" applyBorder="1" applyAlignment="1">
      <alignment vertical="center"/>
    </xf>
    <xf numFmtId="165" fontId="15" fillId="0" borderId="0" xfId="0" quotePrefix="1" applyFont="1" applyAlignment="1">
      <alignment horizontal="center"/>
    </xf>
    <xf numFmtId="0" fontId="35" fillId="0" borderId="0" xfId="0" applyNumberFormat="1" applyFont="1" applyAlignment="1">
      <alignment horizontal="center" vertical="center"/>
    </xf>
    <xf numFmtId="165" fontId="36" fillId="0" borderId="0" xfId="0" applyFont="1" applyAlignment="1">
      <alignment horizontal="left" vertical="center"/>
    </xf>
    <xf numFmtId="165" fontId="36" fillId="7" borderId="5" xfId="0" applyFont="1" applyFill="1" applyBorder="1" applyAlignment="1">
      <alignment horizontal="center" vertical="center"/>
    </xf>
    <xf numFmtId="165" fontId="15" fillId="10" borderId="0" xfId="0" applyFont="1" applyFill="1" applyAlignment="1">
      <alignment horizontal="center" vertical="center"/>
    </xf>
    <xf numFmtId="167" fontId="15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Alignment="1">
      <alignment horizontal="center" vertical="center"/>
    </xf>
    <xf numFmtId="165" fontId="15" fillId="10" borderId="0" xfId="0" quotePrefix="1" applyFont="1" applyFill="1" applyAlignment="1">
      <alignment horizontal="center" vertical="center"/>
    </xf>
    <xf numFmtId="165" fontId="15" fillId="11" borderId="0" xfId="0" applyFont="1" applyFill="1" applyAlignment="1">
      <alignment horizontal="center" vertical="center"/>
    </xf>
    <xf numFmtId="167" fontId="15" fillId="11" borderId="0" xfId="0" applyNumberFormat="1" applyFont="1" applyFill="1" applyAlignment="1">
      <alignment horizontal="center" vertical="center"/>
    </xf>
    <xf numFmtId="165" fontId="15" fillId="11" borderId="0" xfId="0" quotePrefix="1" applyFont="1" applyFill="1" applyAlignment="1">
      <alignment horizontal="center" vertical="center"/>
    </xf>
    <xf numFmtId="0" fontId="35" fillId="11" borderId="0" xfId="0" applyNumberFormat="1" applyFont="1" applyFill="1" applyAlignment="1">
      <alignment horizontal="center" vertical="center"/>
    </xf>
    <xf numFmtId="0" fontId="15" fillId="11" borderId="0" xfId="0" applyNumberFormat="1" applyFont="1" applyFill="1" applyAlignment="1">
      <alignment horizontal="center" vertical="center"/>
    </xf>
    <xf numFmtId="0" fontId="35" fillId="10" borderId="0" xfId="0" applyNumberFormat="1" applyFont="1" applyFill="1" applyAlignment="1">
      <alignment horizontal="center" vertical="center"/>
    </xf>
    <xf numFmtId="167" fontId="16" fillId="12" borderId="0" xfId="0" applyNumberFormat="1" applyFont="1" applyFill="1" applyAlignment="1">
      <alignment horizontal="center" vertical="center"/>
    </xf>
    <xf numFmtId="165" fontId="15" fillId="13" borderId="0" xfId="0" applyFont="1" applyFill="1" applyAlignment="1">
      <alignment horizontal="center" vertical="center"/>
    </xf>
    <xf numFmtId="167" fontId="15" fillId="13" borderId="0" xfId="0" applyNumberFormat="1" applyFont="1" applyFill="1" applyAlignment="1">
      <alignment horizontal="center" vertical="center"/>
    </xf>
    <xf numFmtId="0" fontId="15" fillId="13" borderId="0" xfId="0" applyNumberFormat="1" applyFont="1" applyFill="1" applyAlignment="1">
      <alignment horizontal="center" vertical="center"/>
    </xf>
    <xf numFmtId="165" fontId="15" fillId="13" borderId="0" xfId="0" applyFont="1" applyFill="1" applyAlignment="1">
      <alignment horizontal="left" vertical="center"/>
    </xf>
    <xf numFmtId="0" fontId="15" fillId="13" borderId="0" xfId="0" applyNumberFormat="1" applyFont="1" applyFill="1" applyAlignment="1">
      <alignment horizontal="left" vertical="center"/>
    </xf>
    <xf numFmtId="165" fontId="21" fillId="13" borderId="0" xfId="0" applyFont="1" applyFill="1" applyAlignment="1">
      <alignment horizontal="center" vertical="center"/>
    </xf>
    <xf numFmtId="166" fontId="15" fillId="13" borderId="5" xfId="0" applyNumberFormat="1" applyFont="1" applyFill="1" applyBorder="1" applyAlignment="1">
      <alignment horizontal="right" vertical="center"/>
    </xf>
    <xf numFmtId="166" fontId="15" fillId="13" borderId="5" xfId="0" applyNumberFormat="1" applyFont="1" applyFill="1" applyBorder="1" applyAlignment="1">
      <alignment horizontal="center" vertical="center"/>
    </xf>
    <xf numFmtId="1" fontId="15" fillId="13" borderId="5" xfId="0" applyNumberFormat="1" applyFont="1" applyFill="1" applyBorder="1" applyAlignment="1">
      <alignment horizontal="center" vertical="center"/>
    </xf>
    <xf numFmtId="165" fontId="15" fillId="13" borderId="5" xfId="0" applyFont="1" applyFill="1" applyBorder="1" applyAlignment="1">
      <alignment horizontal="center" vertical="center"/>
    </xf>
    <xf numFmtId="0" fontId="15" fillId="13" borderId="5" xfId="0" applyNumberFormat="1" applyFont="1" applyFill="1" applyBorder="1" applyAlignment="1">
      <alignment horizontal="center" vertical="center"/>
    </xf>
    <xf numFmtId="2" fontId="15" fillId="13" borderId="5" xfId="0" applyNumberFormat="1" applyFont="1" applyFill="1" applyBorder="1" applyAlignment="1">
      <alignment horizontal="center" vertical="center"/>
    </xf>
    <xf numFmtId="167" fontId="16" fillId="13" borderId="0" xfId="0" applyNumberFormat="1" applyFont="1" applyFill="1" applyAlignment="1">
      <alignment horizontal="center" vertical="center"/>
    </xf>
    <xf numFmtId="165" fontId="15" fillId="14" borderId="5" xfId="0" applyFont="1" applyFill="1" applyBorder="1" applyAlignment="1">
      <alignment horizontal="center" vertical="center"/>
    </xf>
    <xf numFmtId="167" fontId="15" fillId="14" borderId="5" xfId="0" applyNumberFormat="1" applyFont="1" applyFill="1" applyBorder="1" applyAlignment="1">
      <alignment horizontal="center" vertical="center"/>
    </xf>
    <xf numFmtId="2" fontId="15" fillId="14" borderId="5" xfId="0" applyNumberFormat="1" applyFont="1" applyFill="1" applyBorder="1" applyAlignment="1">
      <alignment horizontal="center" vertical="center"/>
    </xf>
    <xf numFmtId="2" fontId="15" fillId="13" borderId="0" xfId="0" applyNumberFormat="1" applyFont="1" applyFill="1" applyAlignment="1">
      <alignment vertical="center"/>
    </xf>
    <xf numFmtId="165" fontId="0" fillId="13" borderId="0" xfId="0" applyFill="1"/>
    <xf numFmtId="165" fontId="16" fillId="0" borderId="0" xfId="0" applyFont="1" applyAlignment="1">
      <alignment horizontal="center" vertical="center"/>
    </xf>
    <xf numFmtId="165" fontId="15" fillId="12" borderId="0" xfId="0" applyFont="1" applyFill="1" applyAlignment="1">
      <alignment horizontal="center"/>
    </xf>
    <xf numFmtId="165" fontId="15" fillId="12" borderId="0" xfId="0" applyFont="1" applyFill="1" applyAlignment="1">
      <alignment vertical="center"/>
    </xf>
    <xf numFmtId="164" fontId="15" fillId="12" borderId="0" xfId="1" quotePrefix="1" applyFont="1" applyFill="1" applyAlignment="1">
      <alignment vertical="center"/>
    </xf>
    <xf numFmtId="164" fontId="15" fillId="12" borderId="0" xfId="1" applyFont="1" applyFill="1"/>
    <xf numFmtId="0" fontId="15" fillId="12" borderId="0" xfId="0" applyNumberFormat="1" applyFont="1" applyFill="1" applyAlignment="1">
      <alignment horizontal="center"/>
    </xf>
    <xf numFmtId="165" fontId="15" fillId="12" borderId="0" xfId="0" applyFont="1" applyFill="1" applyAlignment="1">
      <alignment horizontal="center" vertical="center"/>
    </xf>
    <xf numFmtId="0" fontId="15" fillId="12" borderId="0" xfId="0" applyNumberFormat="1" applyFont="1" applyFill="1" applyAlignment="1">
      <alignment horizontal="center" vertical="center"/>
    </xf>
    <xf numFmtId="0" fontId="15" fillId="12" borderId="0" xfId="0" quotePrefix="1" applyNumberFormat="1" applyFont="1" applyFill="1" applyAlignment="1">
      <alignment horizontal="center" vertical="center"/>
    </xf>
    <xf numFmtId="164" fontId="15" fillId="12" borderId="0" xfId="1" quotePrefix="1" applyFont="1" applyFill="1"/>
    <xf numFmtId="1" fontId="16" fillId="0" borderId="5" xfId="0" applyNumberFormat="1" applyFont="1" applyBorder="1" applyAlignment="1">
      <alignment horizontal="center" vertical="center"/>
    </xf>
    <xf numFmtId="0" fontId="16" fillId="0" borderId="0" xfId="0" applyNumberFormat="1" applyFont="1" applyAlignment="1">
      <alignment horizontal="center"/>
    </xf>
    <xf numFmtId="165" fontId="15" fillId="15" borderId="0" xfId="0" applyFont="1" applyFill="1" applyAlignment="1">
      <alignment horizontal="center" vertical="center"/>
    </xf>
    <xf numFmtId="167" fontId="15" fillId="15" borderId="0" xfId="0" applyNumberFormat="1" applyFont="1" applyFill="1" applyAlignment="1">
      <alignment horizontal="center" vertical="center"/>
    </xf>
    <xf numFmtId="167" fontId="16" fillId="15" borderId="0" xfId="0" applyNumberFormat="1" applyFont="1" applyFill="1" applyAlignment="1">
      <alignment horizontal="center" vertical="center"/>
    </xf>
    <xf numFmtId="49" fontId="15" fillId="14" borderId="5" xfId="0" applyNumberFormat="1" applyFont="1" applyFill="1" applyBorder="1" applyAlignment="1">
      <alignment horizontal="center" vertical="center"/>
    </xf>
    <xf numFmtId="2" fontId="15" fillId="0" borderId="5" xfId="0" quotePrefix="1" applyNumberFormat="1" applyFont="1" applyBorder="1" applyAlignment="1">
      <alignment horizontal="center" vertical="center"/>
    </xf>
    <xf numFmtId="2" fontId="15" fillId="13" borderId="5" xfId="0" quotePrefix="1" applyNumberFormat="1" applyFont="1" applyFill="1" applyBorder="1" applyAlignment="1">
      <alignment horizontal="center" vertical="center"/>
    </xf>
    <xf numFmtId="0" fontId="15" fillId="0" borderId="0" xfId="0" quotePrefix="1" applyNumberFormat="1" applyFont="1" applyAlignment="1">
      <alignment horizontal="center" vertical="center"/>
    </xf>
    <xf numFmtId="164" fontId="15" fillId="0" borderId="0" xfId="1" quotePrefix="1" applyFont="1" applyFill="1"/>
    <xf numFmtId="164" fontId="15" fillId="0" borderId="0" xfId="1" quotePrefix="1" applyFont="1" applyFill="1" applyAlignment="1">
      <alignment vertical="center"/>
    </xf>
    <xf numFmtId="164" fontId="15" fillId="0" borderId="0" xfId="1" applyFont="1" applyFill="1"/>
    <xf numFmtId="165" fontId="15" fillId="11" borderId="0" xfId="0" applyFont="1" applyFill="1" applyAlignment="1">
      <alignment horizontal="left" vertical="center"/>
    </xf>
    <xf numFmtId="165" fontId="21" fillId="11" borderId="0" xfId="0" applyFont="1" applyFill="1" applyAlignment="1">
      <alignment horizontal="center" vertical="center"/>
    </xf>
    <xf numFmtId="166" fontId="15" fillId="11" borderId="5" xfId="0" applyNumberFormat="1" applyFont="1" applyFill="1" applyBorder="1" applyAlignment="1">
      <alignment horizontal="right" vertical="center"/>
    </xf>
    <xf numFmtId="166" fontId="15" fillId="11" borderId="5" xfId="0" applyNumberFormat="1" applyFont="1" applyFill="1" applyBorder="1" applyAlignment="1">
      <alignment horizontal="center" vertical="center"/>
    </xf>
    <xf numFmtId="1" fontId="15" fillId="11" borderId="5" xfId="0" applyNumberFormat="1" applyFont="1" applyFill="1" applyBorder="1" applyAlignment="1">
      <alignment horizontal="center" vertical="center"/>
    </xf>
    <xf numFmtId="165" fontId="15" fillId="11" borderId="5" xfId="0" applyFont="1" applyFill="1" applyBorder="1" applyAlignment="1">
      <alignment horizontal="center" vertical="center"/>
    </xf>
    <xf numFmtId="0" fontId="15" fillId="11" borderId="5" xfId="0" applyNumberFormat="1" applyFont="1" applyFill="1" applyBorder="1" applyAlignment="1">
      <alignment horizontal="center" vertical="center"/>
    </xf>
    <xf numFmtId="2" fontId="15" fillId="11" borderId="5" xfId="0" quotePrefix="1" applyNumberFormat="1" applyFont="1" applyFill="1" applyBorder="1" applyAlignment="1">
      <alignment horizontal="center" vertical="center"/>
    </xf>
    <xf numFmtId="167" fontId="16" fillId="11" borderId="0" xfId="0" applyNumberFormat="1" applyFont="1" applyFill="1" applyAlignment="1">
      <alignment horizontal="center" vertical="center"/>
    </xf>
    <xf numFmtId="165" fontId="15" fillId="16" borderId="5" xfId="0" applyFont="1" applyFill="1" applyBorder="1" applyAlignment="1">
      <alignment horizontal="center" vertical="center"/>
    </xf>
    <xf numFmtId="167" fontId="15" fillId="16" borderId="5" xfId="0" applyNumberFormat="1" applyFont="1" applyFill="1" applyBorder="1" applyAlignment="1">
      <alignment horizontal="center" vertical="center"/>
    </xf>
    <xf numFmtId="2" fontId="15" fillId="16" borderId="5" xfId="0" applyNumberFormat="1" applyFont="1" applyFill="1" applyBorder="1" applyAlignment="1">
      <alignment horizontal="center" vertical="center"/>
    </xf>
    <xf numFmtId="2" fontId="15" fillId="11" borderId="0" xfId="0" applyNumberFormat="1" applyFont="1" applyFill="1" applyAlignment="1">
      <alignment vertical="center"/>
    </xf>
    <xf numFmtId="165" fontId="0" fillId="11" borderId="0" xfId="0" applyFill="1"/>
    <xf numFmtId="166" fontId="16" fillId="13" borderId="5" xfId="0" applyNumberFormat="1" applyFont="1" applyFill="1" applyBorder="1" applyAlignment="1">
      <alignment horizontal="center" vertical="center"/>
    </xf>
    <xf numFmtId="1" fontId="16" fillId="13" borderId="5" xfId="0" applyNumberFormat="1" applyFont="1" applyFill="1" applyBorder="1" applyAlignment="1">
      <alignment horizontal="center" vertical="center"/>
    </xf>
    <xf numFmtId="166" fontId="15" fillId="0" borderId="18" xfId="0" applyNumberFormat="1" applyFont="1" applyBorder="1" applyAlignment="1">
      <alignment vertical="center"/>
    </xf>
    <xf numFmtId="1" fontId="16" fillId="11" borderId="5" xfId="0" applyNumberFormat="1" applyFont="1" applyFill="1" applyBorder="1" applyAlignment="1">
      <alignment horizontal="center" vertical="center"/>
    </xf>
    <xf numFmtId="165" fontId="15" fillId="11" borderId="0" xfId="0" applyFont="1" applyFill="1" applyAlignment="1">
      <alignment vertical="center"/>
    </xf>
    <xf numFmtId="165" fontId="15" fillId="13" borderId="0" xfId="0" applyFont="1" applyFill="1" applyAlignment="1">
      <alignment vertical="center"/>
    </xf>
    <xf numFmtId="165" fontId="15" fillId="16" borderId="5" xfId="0" quotePrefix="1" applyFont="1" applyFill="1" applyBorder="1" applyAlignment="1">
      <alignment horizontal="center" vertical="center"/>
    </xf>
    <xf numFmtId="0" fontId="15" fillId="0" borderId="46" xfId="0" applyNumberFormat="1" applyFont="1" applyBorder="1" applyAlignment="1">
      <alignment vertical="center"/>
    </xf>
    <xf numFmtId="167" fontId="15" fillId="0" borderId="0" xfId="0" quotePrefix="1" applyNumberFormat="1" applyFont="1" applyAlignment="1">
      <alignment horizontal="center" vertical="center"/>
    </xf>
    <xf numFmtId="49" fontId="15" fillId="0" borderId="0" xfId="0" quotePrefix="1" applyNumberFormat="1" applyFont="1" applyAlignment="1">
      <alignment vertical="center"/>
    </xf>
    <xf numFmtId="165" fontId="15" fillId="17" borderId="0" xfId="0" applyFont="1" applyFill="1" applyAlignment="1">
      <alignment horizontal="center" vertical="center"/>
    </xf>
    <xf numFmtId="0" fontId="15" fillId="17" borderId="0" xfId="0" applyNumberFormat="1" applyFont="1" applyFill="1" applyAlignment="1">
      <alignment horizontal="center" vertical="center"/>
    </xf>
    <xf numFmtId="165" fontId="15" fillId="17" borderId="0" xfId="0" applyFont="1" applyFill="1" applyAlignment="1">
      <alignment vertical="center"/>
    </xf>
    <xf numFmtId="165" fontId="21" fillId="17" borderId="0" xfId="0" applyFont="1" applyFill="1" applyAlignment="1">
      <alignment horizontal="center" vertical="center"/>
    </xf>
    <xf numFmtId="166" fontId="15" fillId="17" borderId="5" xfId="0" applyNumberFormat="1" applyFont="1" applyFill="1" applyBorder="1" applyAlignment="1">
      <alignment horizontal="right" vertical="center"/>
    </xf>
    <xf numFmtId="166" fontId="15" fillId="17" borderId="5" xfId="0" applyNumberFormat="1" applyFont="1" applyFill="1" applyBorder="1" applyAlignment="1">
      <alignment horizontal="center" vertical="center"/>
    </xf>
    <xf numFmtId="1" fontId="15" fillId="17" borderId="5" xfId="0" applyNumberFormat="1" applyFont="1" applyFill="1" applyBorder="1" applyAlignment="1">
      <alignment horizontal="center" vertical="center"/>
    </xf>
    <xf numFmtId="165" fontId="15" fillId="17" borderId="5" xfId="0" applyFont="1" applyFill="1" applyBorder="1" applyAlignment="1">
      <alignment horizontal="center" vertical="center"/>
    </xf>
    <xf numFmtId="0" fontId="15" fillId="17" borderId="5" xfId="0" applyNumberFormat="1" applyFont="1" applyFill="1" applyBorder="1" applyAlignment="1">
      <alignment horizontal="center" vertical="center"/>
    </xf>
    <xf numFmtId="2" fontId="15" fillId="17" borderId="5" xfId="0" applyNumberFormat="1" applyFont="1" applyFill="1" applyBorder="1" applyAlignment="1">
      <alignment horizontal="center" vertical="center"/>
    </xf>
    <xf numFmtId="165" fontId="15" fillId="17" borderId="0" xfId="0" applyFont="1" applyFill="1" applyAlignment="1">
      <alignment horizontal="left" vertical="center"/>
    </xf>
    <xf numFmtId="167" fontId="15" fillId="17" borderId="0" xfId="0" applyNumberFormat="1" applyFont="1" applyFill="1" applyAlignment="1">
      <alignment horizontal="center" vertical="center"/>
    </xf>
    <xf numFmtId="165" fontId="15" fillId="18" borderId="5" xfId="0" applyFont="1" applyFill="1" applyBorder="1" applyAlignment="1">
      <alignment horizontal="center" vertical="center"/>
    </xf>
    <xf numFmtId="167" fontId="15" fillId="18" borderId="5" xfId="0" applyNumberFormat="1" applyFont="1" applyFill="1" applyBorder="1" applyAlignment="1">
      <alignment horizontal="center" vertical="center"/>
    </xf>
    <xf numFmtId="2" fontId="15" fillId="18" borderId="5" xfId="0" applyNumberFormat="1" applyFont="1" applyFill="1" applyBorder="1" applyAlignment="1">
      <alignment horizontal="center" vertical="center"/>
    </xf>
    <xf numFmtId="2" fontId="15" fillId="17" borderId="0" xfId="0" applyNumberFormat="1" applyFont="1" applyFill="1" applyAlignment="1">
      <alignment vertical="center"/>
    </xf>
    <xf numFmtId="165" fontId="0" fillId="17" borderId="0" xfId="0" applyFill="1"/>
    <xf numFmtId="49" fontId="15" fillId="17" borderId="0" xfId="0" applyNumberFormat="1" applyFont="1" applyFill="1" applyAlignment="1">
      <alignment vertical="center"/>
    </xf>
    <xf numFmtId="49" fontId="15" fillId="17" borderId="0" xfId="0" applyNumberFormat="1" applyFont="1" applyFill="1" applyAlignment="1">
      <alignment horizontal="center" vertical="center"/>
    </xf>
    <xf numFmtId="167" fontId="15" fillId="17" borderId="0" xfId="0" quotePrefix="1" applyNumberFormat="1" applyFont="1" applyFill="1" applyAlignment="1">
      <alignment horizontal="center" vertical="center"/>
    </xf>
    <xf numFmtId="165" fontId="15" fillId="17" borderId="0" xfId="0" quotePrefix="1" applyFont="1" applyFill="1" applyAlignment="1">
      <alignment horizontal="center"/>
    </xf>
    <xf numFmtId="165" fontId="15" fillId="17" borderId="0" xfId="0" applyFont="1" applyFill="1" applyAlignment="1">
      <alignment horizontal="center"/>
    </xf>
    <xf numFmtId="166" fontId="15" fillId="17" borderId="0" xfId="0" quotePrefix="1" applyNumberFormat="1" applyFont="1" applyFill="1" applyAlignment="1">
      <alignment horizontal="right" vertical="center"/>
    </xf>
    <xf numFmtId="166" fontId="15" fillId="17" borderId="0" xfId="0" applyNumberFormat="1" applyFont="1" applyFill="1" applyAlignment="1">
      <alignment horizontal="center" vertical="center"/>
    </xf>
    <xf numFmtId="1" fontId="15" fillId="17" borderId="0" xfId="0" applyNumberFormat="1" applyFont="1" applyFill="1" applyAlignment="1">
      <alignment horizontal="center" vertical="center"/>
    </xf>
    <xf numFmtId="9" fontId="15" fillId="17" borderId="0" xfId="0" quotePrefix="1" applyNumberFormat="1" applyFont="1" applyFill="1" applyAlignment="1">
      <alignment horizontal="center" vertical="center"/>
    </xf>
    <xf numFmtId="165" fontId="15" fillId="17" borderId="0" xfId="0" applyFont="1" applyFill="1"/>
    <xf numFmtId="49" fontId="15" fillId="0" borderId="0" xfId="0" applyNumberFormat="1" applyFont="1" applyAlignment="1">
      <alignment vertical="center"/>
    </xf>
    <xf numFmtId="0" fontId="29" fillId="0" borderId="20" xfId="0" applyNumberFormat="1" applyFont="1" applyBorder="1"/>
    <xf numFmtId="0" fontId="29" fillId="0" borderId="18" xfId="0" applyNumberFormat="1" applyFont="1" applyBorder="1"/>
    <xf numFmtId="0" fontId="29" fillId="0" borderId="15" xfId="0" applyNumberFormat="1" applyFont="1" applyBorder="1"/>
    <xf numFmtId="0" fontId="29" fillId="0" borderId="19" xfId="0" applyNumberFormat="1" applyFont="1" applyBorder="1"/>
    <xf numFmtId="0" fontId="29" fillId="0" borderId="13" xfId="0" applyNumberFormat="1" applyFont="1" applyBorder="1"/>
    <xf numFmtId="0" fontId="29" fillId="0" borderId="21" xfId="0" applyNumberFormat="1" applyFont="1" applyBorder="1"/>
    <xf numFmtId="0" fontId="29" fillId="0" borderId="11" xfId="0" applyNumberFormat="1" applyFont="1" applyBorder="1"/>
    <xf numFmtId="166" fontId="15" fillId="0" borderId="16" xfId="0" applyNumberFormat="1" applyFont="1" applyBorder="1" applyAlignment="1">
      <alignment vertical="center"/>
    </xf>
    <xf numFmtId="165" fontId="15" fillId="0" borderId="17" xfId="0" applyFont="1" applyBorder="1" applyAlignment="1">
      <alignment vertical="center"/>
    </xf>
    <xf numFmtId="2" fontId="15" fillId="0" borderId="17" xfId="0" applyNumberFormat="1" applyFont="1" applyBorder="1" applyAlignment="1">
      <alignment vertical="center"/>
    </xf>
    <xf numFmtId="165" fontId="15" fillId="0" borderId="47" xfId="0" applyFont="1" applyBorder="1" applyAlignment="1">
      <alignment horizontal="center" vertical="center"/>
    </xf>
    <xf numFmtId="166" fontId="16" fillId="0" borderId="5" xfId="0" applyNumberFormat="1" applyFont="1" applyBorder="1" applyAlignment="1">
      <alignment horizontal="center" vertical="center"/>
    </xf>
    <xf numFmtId="1" fontId="15" fillId="0" borderId="20" xfId="0" applyNumberFormat="1" applyFont="1" applyBorder="1" applyAlignment="1">
      <alignment horizontal="center" vertical="center"/>
    </xf>
    <xf numFmtId="0" fontId="16" fillId="11" borderId="0" xfId="0" applyNumberFormat="1" applyFont="1" applyFill="1" applyAlignment="1">
      <alignment horizontal="center" vertical="center"/>
    </xf>
    <xf numFmtId="49" fontId="15" fillId="11" borderId="0" xfId="0" applyNumberFormat="1" applyFont="1" applyFill="1" applyAlignment="1">
      <alignment vertical="center"/>
    </xf>
    <xf numFmtId="2" fontId="15" fillId="11" borderId="5" xfId="0" applyNumberFormat="1" applyFont="1" applyFill="1" applyBorder="1" applyAlignment="1">
      <alignment horizontal="center" vertical="center"/>
    </xf>
    <xf numFmtId="167" fontId="15" fillId="11" borderId="0" xfId="0" quotePrefix="1" applyNumberFormat="1" applyFont="1" applyFill="1" applyAlignment="1">
      <alignment horizontal="center" vertical="center"/>
    </xf>
    <xf numFmtId="49" fontId="16" fillId="11" borderId="0" xfId="0" applyNumberFormat="1" applyFont="1" applyFill="1" applyAlignment="1">
      <alignment vertical="center"/>
    </xf>
    <xf numFmtId="166" fontId="16" fillId="11" borderId="5" xfId="0" applyNumberFormat="1" applyFont="1" applyFill="1" applyBorder="1" applyAlignment="1">
      <alignment horizontal="center" vertical="center"/>
    </xf>
    <xf numFmtId="165" fontId="15" fillId="11" borderId="0" xfId="0" quotePrefix="1" applyFont="1" applyFill="1" applyAlignment="1">
      <alignment vertical="center"/>
    </xf>
    <xf numFmtId="165" fontId="15" fillId="19" borderId="0" xfId="0" applyFont="1" applyFill="1" applyAlignment="1">
      <alignment horizontal="center" vertical="center"/>
    </xf>
    <xf numFmtId="167" fontId="15" fillId="19" borderId="0" xfId="0" applyNumberFormat="1" applyFont="1" applyFill="1" applyAlignment="1">
      <alignment horizontal="center" vertical="center"/>
    </xf>
    <xf numFmtId="0" fontId="15" fillId="19" borderId="0" xfId="0" applyNumberFormat="1" applyFont="1" applyFill="1" applyAlignment="1">
      <alignment horizontal="center" vertical="center"/>
    </xf>
    <xf numFmtId="49" fontId="15" fillId="19" borderId="0" xfId="0" applyNumberFormat="1" applyFont="1" applyFill="1" applyAlignment="1">
      <alignment vertical="center"/>
    </xf>
    <xf numFmtId="166" fontId="15" fillId="19" borderId="5" xfId="0" applyNumberFormat="1" applyFont="1" applyFill="1" applyBorder="1" applyAlignment="1">
      <alignment horizontal="right" vertical="center"/>
    </xf>
    <xf numFmtId="166" fontId="15" fillId="19" borderId="5" xfId="0" applyNumberFormat="1" applyFont="1" applyFill="1" applyBorder="1" applyAlignment="1">
      <alignment horizontal="center" vertical="center"/>
    </xf>
    <xf numFmtId="165" fontId="15" fillId="19" borderId="5" xfId="0" applyFont="1" applyFill="1" applyBorder="1" applyAlignment="1">
      <alignment horizontal="center" vertical="center"/>
    </xf>
    <xf numFmtId="0" fontId="15" fillId="19" borderId="5" xfId="0" applyNumberFormat="1" applyFont="1" applyFill="1" applyBorder="1" applyAlignment="1">
      <alignment horizontal="center" vertical="center"/>
    </xf>
    <xf numFmtId="2" fontId="15" fillId="19" borderId="5" xfId="0" applyNumberFormat="1" applyFont="1" applyFill="1" applyBorder="1" applyAlignment="1">
      <alignment horizontal="center" vertical="center"/>
    </xf>
    <xf numFmtId="165" fontId="15" fillId="19" borderId="0" xfId="0" applyFont="1" applyFill="1" applyAlignment="1">
      <alignment horizontal="left" vertical="center"/>
    </xf>
    <xf numFmtId="2" fontId="15" fillId="19" borderId="0" xfId="0" applyNumberFormat="1" applyFont="1" applyFill="1" applyAlignment="1">
      <alignment vertical="center"/>
    </xf>
    <xf numFmtId="165" fontId="0" fillId="19" borderId="0" xfId="0" applyFill="1"/>
    <xf numFmtId="165" fontId="15" fillId="19" borderId="0" xfId="0" applyFont="1" applyFill="1" applyAlignment="1">
      <alignment vertical="center"/>
    </xf>
    <xf numFmtId="165" fontId="21" fillId="19" borderId="0" xfId="0" applyFont="1" applyFill="1" applyAlignment="1">
      <alignment horizontal="center" vertical="center"/>
    </xf>
    <xf numFmtId="1" fontId="15" fillId="19" borderId="5" xfId="0" applyNumberFormat="1" applyFont="1" applyFill="1" applyBorder="1" applyAlignment="1">
      <alignment horizontal="center" vertical="center"/>
    </xf>
    <xf numFmtId="165" fontId="15" fillId="20" borderId="5" xfId="0" applyFont="1" applyFill="1" applyBorder="1" applyAlignment="1">
      <alignment horizontal="center" vertical="center"/>
    </xf>
    <xf numFmtId="167" fontId="15" fillId="20" borderId="5" xfId="0" applyNumberFormat="1" applyFont="1" applyFill="1" applyBorder="1" applyAlignment="1">
      <alignment horizontal="center" vertical="center"/>
    </xf>
    <xf numFmtId="2" fontId="15" fillId="20" borderId="5" xfId="0" applyNumberFormat="1" applyFont="1" applyFill="1" applyBorder="1" applyAlignment="1">
      <alignment horizontal="center" vertical="center"/>
    </xf>
    <xf numFmtId="167" fontId="15" fillId="19" borderId="0" xfId="0" quotePrefix="1" applyNumberFormat="1" applyFont="1" applyFill="1" applyAlignment="1">
      <alignment horizontal="center" vertical="center"/>
    </xf>
    <xf numFmtId="165" fontId="38" fillId="0" borderId="5" xfId="0" applyFont="1" applyBorder="1" applyAlignment="1">
      <alignment horizontal="center" vertical="center" wrapText="1"/>
    </xf>
    <xf numFmtId="165" fontId="15" fillId="21" borderId="0" xfId="0" applyFont="1" applyFill="1" applyAlignment="1">
      <alignment horizontal="center" vertical="center"/>
    </xf>
    <xf numFmtId="0" fontId="15" fillId="21" borderId="0" xfId="0" applyNumberFormat="1" applyFont="1" applyFill="1" applyAlignment="1">
      <alignment horizontal="center" vertical="center"/>
    </xf>
    <xf numFmtId="49" fontId="15" fillId="21" borderId="0" xfId="0" applyNumberFormat="1" applyFont="1" applyFill="1" applyAlignment="1">
      <alignment vertical="center"/>
    </xf>
    <xf numFmtId="165" fontId="21" fillId="21" borderId="0" xfId="0" applyFont="1" applyFill="1" applyAlignment="1">
      <alignment horizontal="center" vertical="center"/>
    </xf>
    <xf numFmtId="166" fontId="15" fillId="21" borderId="5" xfId="0" applyNumberFormat="1" applyFont="1" applyFill="1" applyBorder="1" applyAlignment="1">
      <alignment horizontal="right" vertical="center"/>
    </xf>
    <xf numFmtId="166" fontId="15" fillId="21" borderId="5" xfId="0" applyNumberFormat="1" applyFont="1" applyFill="1" applyBorder="1" applyAlignment="1">
      <alignment horizontal="center" vertical="center"/>
    </xf>
    <xf numFmtId="1" fontId="15" fillId="21" borderId="5" xfId="0" applyNumberFormat="1" applyFont="1" applyFill="1" applyBorder="1" applyAlignment="1">
      <alignment horizontal="center" vertical="center"/>
    </xf>
    <xf numFmtId="165" fontId="15" fillId="21" borderId="5" xfId="0" applyFont="1" applyFill="1" applyBorder="1" applyAlignment="1">
      <alignment horizontal="center" vertical="center"/>
    </xf>
    <xf numFmtId="0" fontId="15" fillId="21" borderId="5" xfId="0" applyNumberFormat="1" applyFont="1" applyFill="1" applyBorder="1" applyAlignment="1">
      <alignment horizontal="center" vertical="center"/>
    </xf>
    <xf numFmtId="2" fontId="15" fillId="21" borderId="5" xfId="0" applyNumberFormat="1" applyFont="1" applyFill="1" applyBorder="1" applyAlignment="1">
      <alignment horizontal="center" vertical="center"/>
    </xf>
    <xf numFmtId="165" fontId="15" fillId="21" borderId="0" xfId="0" applyFont="1" applyFill="1" applyAlignment="1">
      <alignment horizontal="left" vertical="center"/>
    </xf>
    <xf numFmtId="167" fontId="15" fillId="21" borderId="0" xfId="0" applyNumberFormat="1" applyFont="1" applyFill="1" applyAlignment="1">
      <alignment horizontal="center" vertical="center"/>
    </xf>
    <xf numFmtId="167" fontId="15" fillId="21" borderId="5" xfId="0" applyNumberFormat="1" applyFont="1" applyFill="1" applyBorder="1" applyAlignment="1">
      <alignment horizontal="center" vertical="center"/>
    </xf>
    <xf numFmtId="2" fontId="15" fillId="21" borderId="0" xfId="0" applyNumberFormat="1" applyFont="1" applyFill="1" applyAlignment="1">
      <alignment vertical="center"/>
    </xf>
    <xf numFmtId="165" fontId="0" fillId="21" borderId="0" xfId="0" applyFill="1"/>
    <xf numFmtId="167" fontId="15" fillId="21" borderId="0" xfId="0" quotePrefix="1" applyNumberFormat="1" applyFont="1" applyFill="1" applyAlignment="1">
      <alignment horizontal="center" vertical="center"/>
    </xf>
    <xf numFmtId="165" fontId="15" fillId="21" borderId="0" xfId="0" quotePrefix="1" applyFont="1" applyFill="1" applyAlignment="1">
      <alignment vertical="center"/>
    </xf>
    <xf numFmtId="165" fontId="15" fillId="21" borderId="0" xfId="0" applyFont="1" applyFill="1" applyAlignment="1">
      <alignment vertical="center"/>
    </xf>
    <xf numFmtId="165" fontId="15" fillId="22" borderId="5" xfId="0" applyFont="1" applyFill="1" applyBorder="1" applyAlignment="1">
      <alignment horizontal="center" vertical="center"/>
    </xf>
    <xf numFmtId="167" fontId="15" fillId="22" borderId="5" xfId="0" applyNumberFormat="1" applyFont="1" applyFill="1" applyBorder="1" applyAlignment="1">
      <alignment horizontal="center" vertical="center"/>
    </xf>
    <xf numFmtId="2" fontId="15" fillId="22" borderId="5" xfId="0" applyNumberFormat="1" applyFont="1" applyFill="1" applyBorder="1" applyAlignment="1">
      <alignment horizontal="center" vertical="center"/>
    </xf>
    <xf numFmtId="165" fontId="15" fillId="23" borderId="0" xfId="0" applyFont="1" applyFill="1" applyAlignment="1">
      <alignment horizontal="center" vertical="center"/>
    </xf>
    <xf numFmtId="167" fontId="15" fillId="23" borderId="0" xfId="0" applyNumberFormat="1" applyFont="1" applyFill="1" applyAlignment="1">
      <alignment horizontal="center" vertical="center"/>
    </xf>
    <xf numFmtId="0" fontId="15" fillId="23" borderId="0" xfId="0" applyNumberFormat="1" applyFont="1" applyFill="1" applyAlignment="1">
      <alignment horizontal="center" vertical="center"/>
    </xf>
    <xf numFmtId="49" fontId="15" fillId="23" borderId="0" xfId="0" applyNumberFormat="1" applyFont="1" applyFill="1" applyAlignment="1">
      <alignment vertical="center"/>
    </xf>
    <xf numFmtId="165" fontId="15" fillId="23" borderId="0" xfId="0" applyFont="1" applyFill="1" applyAlignment="1">
      <alignment vertical="center"/>
    </xf>
    <xf numFmtId="165" fontId="21" fillId="23" borderId="0" xfId="0" applyFont="1" applyFill="1" applyAlignment="1">
      <alignment horizontal="center" vertical="center"/>
    </xf>
    <xf numFmtId="166" fontId="15" fillId="23" borderId="5" xfId="0" applyNumberFormat="1" applyFont="1" applyFill="1" applyBorder="1" applyAlignment="1">
      <alignment horizontal="right" vertical="center"/>
    </xf>
    <xf numFmtId="166" fontId="15" fillId="23" borderId="5" xfId="0" applyNumberFormat="1" applyFont="1" applyFill="1" applyBorder="1" applyAlignment="1">
      <alignment horizontal="center" vertical="center"/>
    </xf>
    <xf numFmtId="165" fontId="15" fillId="23" borderId="5" xfId="0" applyFont="1" applyFill="1" applyBorder="1" applyAlignment="1">
      <alignment horizontal="center" vertical="center"/>
    </xf>
    <xf numFmtId="0" fontId="15" fillId="23" borderId="5" xfId="0" applyNumberFormat="1" applyFont="1" applyFill="1" applyBorder="1" applyAlignment="1">
      <alignment horizontal="center" vertical="center"/>
    </xf>
    <xf numFmtId="2" fontId="15" fillId="23" borderId="5" xfId="0" applyNumberFormat="1" applyFont="1" applyFill="1" applyBorder="1" applyAlignment="1">
      <alignment horizontal="center" vertical="center"/>
    </xf>
    <xf numFmtId="165" fontId="15" fillId="23" borderId="0" xfId="0" applyFont="1" applyFill="1" applyAlignment="1">
      <alignment horizontal="left" vertical="center"/>
    </xf>
    <xf numFmtId="165" fontId="15" fillId="24" borderId="5" xfId="0" applyFont="1" applyFill="1" applyBorder="1" applyAlignment="1">
      <alignment horizontal="center" vertical="center"/>
    </xf>
    <xf numFmtId="167" fontId="15" fillId="24" borderId="5" xfId="0" applyNumberFormat="1" applyFont="1" applyFill="1" applyBorder="1" applyAlignment="1">
      <alignment horizontal="center" vertical="center"/>
    </xf>
    <xf numFmtId="2" fontId="15" fillId="24" borderId="5" xfId="0" applyNumberFormat="1" applyFont="1" applyFill="1" applyBorder="1" applyAlignment="1">
      <alignment horizontal="center" vertical="center"/>
    </xf>
    <xf numFmtId="2" fontId="15" fillId="23" borderId="0" xfId="0" applyNumberFormat="1" applyFont="1" applyFill="1" applyAlignment="1">
      <alignment vertical="center"/>
    </xf>
    <xf numFmtId="165" fontId="0" fillId="23" borderId="0" xfId="0" applyFill="1"/>
    <xf numFmtId="167" fontId="15" fillId="23" borderId="0" xfId="0" quotePrefix="1" applyNumberFormat="1" applyFont="1" applyFill="1" applyAlignment="1">
      <alignment horizontal="center" vertical="center"/>
    </xf>
    <xf numFmtId="165" fontId="15" fillId="25" borderId="0" xfId="0" applyFont="1" applyFill="1" applyAlignment="1">
      <alignment horizontal="center" vertical="center"/>
    </xf>
    <xf numFmtId="167" fontId="15" fillId="25" borderId="0" xfId="0" applyNumberFormat="1" applyFont="1" applyFill="1" applyAlignment="1">
      <alignment horizontal="center" vertical="center"/>
    </xf>
    <xf numFmtId="0" fontId="15" fillId="25" borderId="0" xfId="0" applyNumberFormat="1" applyFont="1" applyFill="1" applyAlignment="1">
      <alignment horizontal="center" vertical="center"/>
    </xf>
    <xf numFmtId="165" fontId="35" fillId="25" borderId="0" xfId="0" applyFont="1" applyFill="1" applyAlignment="1">
      <alignment horizontal="center" vertical="center"/>
    </xf>
    <xf numFmtId="49" fontId="15" fillId="25" borderId="0" xfId="0" applyNumberFormat="1" applyFont="1" applyFill="1" applyAlignment="1">
      <alignment vertical="center"/>
    </xf>
    <xf numFmtId="165" fontId="15" fillId="25" borderId="0" xfId="0" applyFont="1" applyFill="1" applyAlignment="1">
      <alignment vertical="center"/>
    </xf>
    <xf numFmtId="165" fontId="21" fillId="25" borderId="0" xfId="0" applyFont="1" applyFill="1" applyAlignment="1">
      <alignment horizontal="center" vertical="center"/>
    </xf>
    <xf numFmtId="166" fontId="15" fillId="25" borderId="5" xfId="0" applyNumberFormat="1" applyFont="1" applyFill="1" applyBorder="1" applyAlignment="1">
      <alignment horizontal="right" vertical="center"/>
    </xf>
    <xf numFmtId="166" fontId="15" fillId="25" borderId="5" xfId="0" applyNumberFormat="1" applyFont="1" applyFill="1" applyBorder="1" applyAlignment="1">
      <alignment horizontal="center" vertical="center"/>
    </xf>
    <xf numFmtId="165" fontId="15" fillId="25" borderId="5" xfId="0" applyFont="1" applyFill="1" applyBorder="1" applyAlignment="1">
      <alignment horizontal="center" vertical="center"/>
    </xf>
    <xf numFmtId="0" fontId="15" fillId="25" borderId="5" xfId="0" applyNumberFormat="1" applyFont="1" applyFill="1" applyBorder="1" applyAlignment="1">
      <alignment horizontal="center" vertical="center"/>
    </xf>
    <xf numFmtId="2" fontId="15" fillId="25" borderId="5" xfId="0" applyNumberFormat="1" applyFont="1" applyFill="1" applyBorder="1" applyAlignment="1">
      <alignment horizontal="center" vertical="center"/>
    </xf>
    <xf numFmtId="165" fontId="15" fillId="25" borderId="0" xfId="0" applyFont="1" applyFill="1" applyAlignment="1">
      <alignment horizontal="left" vertical="center"/>
    </xf>
    <xf numFmtId="167" fontId="15" fillId="25" borderId="0" xfId="0" quotePrefix="1" applyNumberFormat="1" applyFont="1" applyFill="1" applyAlignment="1">
      <alignment horizontal="center" vertical="center"/>
    </xf>
    <xf numFmtId="165" fontId="15" fillId="26" borderId="5" xfId="0" applyFont="1" applyFill="1" applyBorder="1" applyAlignment="1">
      <alignment horizontal="center" vertical="center"/>
    </xf>
    <xf numFmtId="165" fontId="15" fillId="26" borderId="5" xfId="0" quotePrefix="1" applyFont="1" applyFill="1" applyBorder="1" applyAlignment="1">
      <alignment horizontal="center" vertical="center"/>
    </xf>
    <xf numFmtId="167" fontId="15" fillId="26" borderId="5" xfId="0" applyNumberFormat="1" applyFont="1" applyFill="1" applyBorder="1" applyAlignment="1">
      <alignment horizontal="center" vertical="center"/>
    </xf>
    <xf numFmtId="2" fontId="15" fillId="26" borderId="5" xfId="0" applyNumberFormat="1" applyFont="1" applyFill="1" applyBorder="1" applyAlignment="1">
      <alignment horizontal="center" vertical="center"/>
    </xf>
    <xf numFmtId="2" fontId="15" fillId="25" borderId="0" xfId="0" applyNumberFormat="1" applyFont="1" applyFill="1" applyAlignment="1">
      <alignment vertical="center"/>
    </xf>
    <xf numFmtId="165" fontId="0" fillId="25" borderId="0" xfId="0" applyFill="1"/>
    <xf numFmtId="1" fontId="15" fillId="0" borderId="16" xfId="0" applyNumberFormat="1" applyFont="1" applyBorder="1" applyAlignment="1">
      <alignment horizontal="center" vertical="center"/>
    </xf>
    <xf numFmtId="1" fontId="16" fillId="25" borderId="5" xfId="0" applyNumberFormat="1" applyFont="1" applyFill="1" applyBorder="1" applyAlignment="1">
      <alignment horizontal="center" vertical="center"/>
    </xf>
    <xf numFmtId="1" fontId="15" fillId="0" borderId="18" xfId="0" applyNumberFormat="1" applyFont="1" applyBorder="1" applyAlignment="1">
      <alignment horizontal="center" vertical="center"/>
    </xf>
    <xf numFmtId="2" fontId="15" fillId="0" borderId="15" xfId="0" applyNumberFormat="1" applyFont="1" applyBorder="1" applyAlignment="1">
      <alignment vertical="center"/>
    </xf>
    <xf numFmtId="2" fontId="15" fillId="0" borderId="21" xfId="0" applyNumberFormat="1" applyFont="1" applyBorder="1" applyAlignment="1">
      <alignment vertical="center"/>
    </xf>
    <xf numFmtId="2" fontId="15" fillId="0" borderId="11" xfId="0" applyNumberFormat="1" applyFont="1" applyBorder="1" applyAlignment="1">
      <alignment vertical="center"/>
    </xf>
    <xf numFmtId="2" fontId="15" fillId="0" borderId="19" xfId="0" applyNumberFormat="1" applyFont="1" applyBorder="1" applyAlignment="1">
      <alignment vertical="center"/>
    </xf>
    <xf numFmtId="2" fontId="15" fillId="0" borderId="13" xfId="0" applyNumberFormat="1" applyFont="1" applyBorder="1" applyAlignment="1">
      <alignment vertical="center"/>
    </xf>
    <xf numFmtId="165" fontId="15" fillId="0" borderId="16" xfId="0" applyFont="1" applyBorder="1" applyAlignment="1">
      <alignment vertical="center"/>
    </xf>
    <xf numFmtId="165" fontId="15" fillId="0" borderId="20" xfId="0" applyFont="1" applyBorder="1" applyAlignment="1">
      <alignment horizontal="left" vertical="center"/>
    </xf>
    <xf numFmtId="2" fontId="30" fillId="0" borderId="5" xfId="0" applyNumberFormat="1" applyFont="1" applyBorder="1"/>
    <xf numFmtId="49" fontId="15" fillId="0" borderId="5" xfId="0" applyNumberFormat="1" applyFont="1" applyBorder="1" applyAlignment="1">
      <alignment horizontal="center"/>
    </xf>
    <xf numFmtId="165" fontId="15" fillId="0" borderId="11" xfId="0" applyFont="1" applyBorder="1" applyAlignment="1">
      <alignment horizontal="left" vertical="center"/>
    </xf>
    <xf numFmtId="1" fontId="16" fillId="23" borderId="5" xfId="0" applyNumberFormat="1" applyFont="1" applyFill="1" applyBorder="1" applyAlignment="1">
      <alignment horizontal="center" vertical="center"/>
    </xf>
    <xf numFmtId="166" fontId="16" fillId="23" borderId="5" xfId="0" applyNumberFormat="1" applyFont="1" applyFill="1" applyBorder="1" applyAlignment="1">
      <alignment horizontal="center" vertical="center"/>
    </xf>
    <xf numFmtId="165" fontId="15" fillId="0" borderId="45" xfId="0" applyFont="1" applyBorder="1" applyAlignment="1">
      <alignment horizontal="center" vertical="center"/>
    </xf>
    <xf numFmtId="167" fontId="15" fillId="23" borderId="5" xfId="0" applyNumberFormat="1" applyFont="1" applyFill="1" applyBorder="1" applyAlignment="1">
      <alignment horizontal="center" vertical="center"/>
    </xf>
    <xf numFmtId="165" fontId="15" fillId="23" borderId="5" xfId="0" applyFont="1" applyFill="1" applyBorder="1" applyAlignment="1">
      <alignment horizontal="center" vertical="center" wrapText="1"/>
    </xf>
    <xf numFmtId="165" fontId="15" fillId="27" borderId="0" xfId="0" applyFont="1" applyFill="1" applyAlignment="1">
      <alignment horizontal="center" vertical="center"/>
    </xf>
    <xf numFmtId="167" fontId="15" fillId="27" borderId="0" xfId="0" applyNumberFormat="1" applyFont="1" applyFill="1" applyAlignment="1">
      <alignment horizontal="center" vertical="center"/>
    </xf>
    <xf numFmtId="0" fontId="15" fillId="27" borderId="0" xfId="0" applyNumberFormat="1" applyFont="1" applyFill="1" applyAlignment="1">
      <alignment horizontal="center" vertical="center"/>
    </xf>
    <xf numFmtId="165" fontId="15" fillId="27" borderId="0" xfId="0" applyFont="1" applyFill="1" applyAlignment="1">
      <alignment vertical="center" wrapText="1"/>
    </xf>
    <xf numFmtId="49" fontId="15" fillId="27" borderId="0" xfId="0" applyNumberFormat="1" applyFont="1" applyFill="1" applyAlignment="1">
      <alignment vertical="center"/>
    </xf>
    <xf numFmtId="165" fontId="15" fillId="27" borderId="0" xfId="0" applyFont="1" applyFill="1" applyAlignment="1">
      <alignment vertical="center"/>
    </xf>
    <xf numFmtId="165" fontId="21" fillId="27" borderId="0" xfId="0" applyFont="1" applyFill="1" applyAlignment="1">
      <alignment horizontal="center" vertical="center"/>
    </xf>
    <xf numFmtId="166" fontId="15" fillId="27" borderId="5" xfId="0" applyNumberFormat="1" applyFont="1" applyFill="1" applyBorder="1" applyAlignment="1">
      <alignment horizontal="right" vertical="center"/>
    </xf>
    <xf numFmtId="166" fontId="15" fillId="27" borderId="5" xfId="0" applyNumberFormat="1" applyFont="1" applyFill="1" applyBorder="1" applyAlignment="1">
      <alignment horizontal="center" vertical="center"/>
    </xf>
    <xf numFmtId="1" fontId="15" fillId="27" borderId="5" xfId="0" applyNumberFormat="1" applyFont="1" applyFill="1" applyBorder="1" applyAlignment="1">
      <alignment horizontal="center" vertical="center"/>
    </xf>
    <xf numFmtId="165" fontId="15" fillId="27" borderId="5" xfId="0" applyFont="1" applyFill="1" applyBorder="1" applyAlignment="1">
      <alignment horizontal="center" vertical="center"/>
    </xf>
    <xf numFmtId="0" fontId="15" fillId="27" borderId="5" xfId="0" applyNumberFormat="1" applyFont="1" applyFill="1" applyBorder="1" applyAlignment="1">
      <alignment horizontal="center" vertical="center"/>
    </xf>
    <xf numFmtId="2" fontId="15" fillId="27" borderId="5" xfId="0" applyNumberFormat="1" applyFont="1" applyFill="1" applyBorder="1" applyAlignment="1">
      <alignment horizontal="center" vertical="center"/>
    </xf>
    <xf numFmtId="165" fontId="15" fillId="27" borderId="0" xfId="0" applyFont="1" applyFill="1" applyAlignment="1">
      <alignment horizontal="left" vertical="center"/>
    </xf>
    <xf numFmtId="167" fontId="15" fillId="27" borderId="0" xfId="0" quotePrefix="1" applyNumberFormat="1" applyFont="1" applyFill="1" applyAlignment="1">
      <alignment horizontal="center" vertical="center"/>
    </xf>
    <xf numFmtId="165" fontId="15" fillId="28" borderId="5" xfId="0" applyFont="1" applyFill="1" applyBorder="1" applyAlignment="1">
      <alignment horizontal="center" vertical="center"/>
    </xf>
    <xf numFmtId="167" fontId="15" fillId="28" borderId="5" xfId="0" applyNumberFormat="1" applyFont="1" applyFill="1" applyBorder="1" applyAlignment="1">
      <alignment horizontal="center" vertical="center"/>
    </xf>
    <xf numFmtId="2" fontId="15" fillId="28" borderId="5" xfId="0" applyNumberFormat="1" applyFont="1" applyFill="1" applyBorder="1" applyAlignment="1">
      <alignment horizontal="center" vertical="center"/>
    </xf>
    <xf numFmtId="2" fontId="15" fillId="27" borderId="0" xfId="0" applyNumberFormat="1" applyFont="1" applyFill="1" applyAlignment="1">
      <alignment vertical="center"/>
    </xf>
    <xf numFmtId="165" fontId="0" fillId="27" borderId="0" xfId="0" applyFill="1"/>
    <xf numFmtId="167" fontId="16" fillId="23" borderId="0" xfId="0" applyNumberFormat="1" applyFont="1" applyFill="1" applyAlignment="1">
      <alignment horizontal="center" vertical="center"/>
    </xf>
    <xf numFmtId="167" fontId="16" fillId="23" borderId="0" xfId="0" quotePrefix="1" applyNumberFormat="1" applyFont="1" applyFill="1" applyAlignment="1">
      <alignment horizontal="center" vertical="center"/>
    </xf>
    <xf numFmtId="165" fontId="15" fillId="29" borderId="0" xfId="0" applyFont="1" applyFill="1" applyAlignment="1">
      <alignment horizontal="center" vertical="center"/>
    </xf>
    <xf numFmtId="167" fontId="15" fillId="29" borderId="0" xfId="0" applyNumberFormat="1" applyFont="1" applyFill="1" applyAlignment="1">
      <alignment horizontal="center" vertical="center"/>
    </xf>
    <xf numFmtId="0" fontId="15" fillId="29" borderId="0" xfId="0" applyNumberFormat="1" applyFont="1" applyFill="1" applyAlignment="1">
      <alignment horizontal="center" vertical="center"/>
    </xf>
    <xf numFmtId="165" fontId="15" fillId="29" borderId="0" xfId="0" applyFont="1" applyFill="1" applyAlignment="1">
      <alignment vertical="center"/>
    </xf>
    <xf numFmtId="165" fontId="21" fillId="29" borderId="0" xfId="0" applyFont="1" applyFill="1" applyAlignment="1">
      <alignment horizontal="center" vertical="center"/>
    </xf>
    <xf numFmtId="166" fontId="15" fillId="29" borderId="5" xfId="0" applyNumberFormat="1" applyFont="1" applyFill="1" applyBorder="1" applyAlignment="1">
      <alignment horizontal="center" vertical="center"/>
    </xf>
    <xf numFmtId="165" fontId="15" fillId="29" borderId="5" xfId="0" applyFont="1" applyFill="1" applyBorder="1" applyAlignment="1">
      <alignment horizontal="center" vertical="center"/>
    </xf>
    <xf numFmtId="2" fontId="15" fillId="29" borderId="5" xfId="0" applyNumberFormat="1" applyFont="1" applyFill="1" applyBorder="1" applyAlignment="1">
      <alignment horizontal="center" vertical="center"/>
    </xf>
    <xf numFmtId="165" fontId="15" fillId="29" borderId="0" xfId="0" applyFont="1" applyFill="1" applyAlignment="1">
      <alignment horizontal="left" vertical="center"/>
    </xf>
    <xf numFmtId="167" fontId="15" fillId="29" borderId="0" xfId="0" quotePrefix="1" applyNumberFormat="1" applyFont="1" applyFill="1" applyAlignment="1">
      <alignment horizontal="center" vertical="center"/>
    </xf>
    <xf numFmtId="165" fontId="15" fillId="30" borderId="5" xfId="0" applyFont="1" applyFill="1" applyBorder="1" applyAlignment="1">
      <alignment horizontal="center" vertical="center"/>
    </xf>
    <xf numFmtId="167" fontId="15" fillId="30" borderId="5" xfId="0" applyNumberFormat="1" applyFont="1" applyFill="1" applyBorder="1" applyAlignment="1">
      <alignment horizontal="center" vertical="center"/>
    </xf>
    <xf numFmtId="2" fontId="15" fillId="30" borderId="5" xfId="0" applyNumberFormat="1" applyFont="1" applyFill="1" applyBorder="1" applyAlignment="1">
      <alignment horizontal="center" vertical="center"/>
    </xf>
    <xf numFmtId="2" fontId="15" fillId="29" borderId="0" xfId="0" applyNumberFormat="1" applyFont="1" applyFill="1" applyAlignment="1">
      <alignment vertical="center"/>
    </xf>
    <xf numFmtId="165" fontId="0" fillId="29" borderId="0" xfId="0" applyFill="1"/>
    <xf numFmtId="1" fontId="16" fillId="21" borderId="5" xfId="0" applyNumberFormat="1" applyFont="1" applyFill="1" applyBorder="1" applyAlignment="1">
      <alignment horizontal="center" vertical="center"/>
    </xf>
    <xf numFmtId="0" fontId="16" fillId="23" borderId="5" xfId="0" applyNumberFormat="1" applyFont="1" applyFill="1" applyBorder="1" applyAlignment="1">
      <alignment horizontal="center" vertical="center"/>
    </xf>
    <xf numFmtId="0" fontId="16" fillId="29" borderId="5" xfId="0" applyNumberFormat="1" applyFont="1" applyFill="1" applyBorder="1" applyAlignment="1">
      <alignment horizontal="center" vertical="center"/>
    </xf>
    <xf numFmtId="1" fontId="16" fillId="29" borderId="5" xfId="0" applyNumberFormat="1" applyFont="1" applyFill="1" applyBorder="1" applyAlignment="1">
      <alignment horizontal="center" vertical="center"/>
    </xf>
    <xf numFmtId="0" fontId="16" fillId="0" borderId="5" xfId="0" applyNumberFormat="1" applyFont="1" applyBorder="1" applyAlignment="1">
      <alignment horizontal="center" vertical="center"/>
    </xf>
    <xf numFmtId="166" fontId="16" fillId="21" borderId="5" xfId="0" applyNumberFormat="1" applyFont="1" applyFill="1" applyBorder="1" applyAlignment="1">
      <alignment horizontal="center" vertical="center"/>
    </xf>
    <xf numFmtId="164" fontId="16" fillId="21" borderId="5" xfId="1" applyFont="1" applyFill="1" applyBorder="1" applyAlignment="1">
      <alignment horizontal="right" vertical="center"/>
    </xf>
    <xf numFmtId="0" fontId="16" fillId="21" borderId="5" xfId="0" applyNumberFormat="1" applyFont="1" applyFill="1" applyBorder="1" applyAlignment="1">
      <alignment horizontal="center" vertical="center"/>
    </xf>
    <xf numFmtId="2" fontId="15" fillId="25" borderId="5" xfId="0" quotePrefix="1" applyNumberFormat="1" applyFont="1" applyFill="1" applyBorder="1" applyAlignment="1">
      <alignment horizontal="center" vertical="center"/>
    </xf>
    <xf numFmtId="166" fontId="16" fillId="23" borderId="5" xfId="0" applyNumberFormat="1" applyFont="1" applyFill="1" applyBorder="1" applyAlignment="1">
      <alignment horizontal="right" vertical="center"/>
    </xf>
    <xf numFmtId="165" fontId="16" fillId="12" borderId="0" xfId="0" applyFont="1" applyFill="1" applyAlignment="1">
      <alignment horizontal="center" vertical="center"/>
    </xf>
    <xf numFmtId="166" fontId="16" fillId="0" borderId="5" xfId="0" applyNumberFormat="1" applyFont="1" applyBorder="1" applyAlignment="1">
      <alignment horizontal="right" vertical="center"/>
    </xf>
    <xf numFmtId="165" fontId="15" fillId="31" borderId="0" xfId="0" applyFont="1" applyFill="1" applyAlignment="1">
      <alignment horizontal="center" vertical="center"/>
    </xf>
    <xf numFmtId="167" fontId="15" fillId="31" borderId="0" xfId="0" applyNumberFormat="1" applyFont="1" applyFill="1" applyAlignment="1">
      <alignment horizontal="center" vertical="center"/>
    </xf>
    <xf numFmtId="0" fontId="15" fillId="31" borderId="0" xfId="0" applyNumberFormat="1" applyFont="1" applyFill="1" applyAlignment="1">
      <alignment horizontal="center" vertical="center"/>
    </xf>
    <xf numFmtId="165" fontId="15" fillId="31" borderId="0" xfId="0" applyFont="1" applyFill="1" applyAlignment="1">
      <alignment vertical="center"/>
    </xf>
    <xf numFmtId="165" fontId="21" fillId="31" borderId="0" xfId="0" applyFont="1" applyFill="1" applyAlignment="1">
      <alignment horizontal="center" vertical="center"/>
    </xf>
    <xf numFmtId="166" fontId="15" fillId="31" borderId="5" xfId="0" applyNumberFormat="1" applyFont="1" applyFill="1" applyBorder="1" applyAlignment="1">
      <alignment horizontal="center" vertical="center"/>
    </xf>
    <xf numFmtId="165" fontId="15" fillId="31" borderId="5" xfId="0" applyFont="1" applyFill="1" applyBorder="1" applyAlignment="1">
      <alignment horizontal="center" vertical="center"/>
    </xf>
    <xf numFmtId="0" fontId="15" fillId="31" borderId="5" xfId="0" applyNumberFormat="1" applyFont="1" applyFill="1" applyBorder="1" applyAlignment="1">
      <alignment horizontal="center" vertical="center"/>
    </xf>
    <xf numFmtId="2" fontId="15" fillId="31" borderId="5" xfId="0" applyNumberFormat="1" applyFont="1" applyFill="1" applyBorder="1" applyAlignment="1">
      <alignment horizontal="center" vertical="center"/>
    </xf>
    <xf numFmtId="165" fontId="15" fillId="31" borderId="0" xfId="0" applyFont="1" applyFill="1" applyAlignment="1">
      <alignment horizontal="left" vertical="center"/>
    </xf>
    <xf numFmtId="165" fontId="15" fillId="32" borderId="5" xfId="0" applyFont="1" applyFill="1" applyBorder="1" applyAlignment="1">
      <alignment horizontal="center" vertical="center"/>
    </xf>
    <xf numFmtId="167" fontId="15" fillId="32" borderId="5" xfId="0" applyNumberFormat="1" applyFont="1" applyFill="1" applyBorder="1" applyAlignment="1">
      <alignment horizontal="center" vertical="center"/>
    </xf>
    <xf numFmtId="2" fontId="15" fillId="32" borderId="5" xfId="0" applyNumberFormat="1" applyFont="1" applyFill="1" applyBorder="1" applyAlignment="1">
      <alignment horizontal="center" vertical="center"/>
    </xf>
    <xf numFmtId="2" fontId="15" fillId="31" borderId="0" xfId="0" applyNumberFormat="1" applyFont="1" applyFill="1" applyAlignment="1">
      <alignment vertical="center"/>
    </xf>
    <xf numFmtId="165" fontId="0" fillId="31" borderId="0" xfId="0" applyFill="1"/>
    <xf numFmtId="166" fontId="16" fillId="29" borderId="5" xfId="0" applyNumberFormat="1" applyFont="1" applyFill="1" applyBorder="1" applyAlignment="1">
      <alignment horizontal="center" vertical="center"/>
    </xf>
    <xf numFmtId="165" fontId="41" fillId="0" borderId="0" xfId="0" applyFont="1" applyAlignment="1">
      <alignment horizontal="center" vertical="center"/>
    </xf>
    <xf numFmtId="1" fontId="16" fillId="31" borderId="5" xfId="0" applyNumberFormat="1" applyFont="1" applyFill="1" applyBorder="1" applyAlignment="1">
      <alignment horizontal="center" vertical="center"/>
    </xf>
    <xf numFmtId="2" fontId="20" fillId="0" borderId="0" xfId="0" applyNumberFormat="1" applyFont="1" applyAlignment="1">
      <alignment horizontal="right" vertical="center"/>
    </xf>
    <xf numFmtId="166" fontId="16" fillId="31" borderId="5" xfId="0" applyNumberFormat="1" applyFont="1" applyFill="1" applyBorder="1" applyAlignment="1">
      <alignment horizontal="center" vertical="center"/>
    </xf>
    <xf numFmtId="166" fontId="16" fillId="31" borderId="5" xfId="0" applyNumberFormat="1" applyFont="1" applyFill="1" applyBorder="1" applyAlignment="1">
      <alignment horizontal="right" vertical="center"/>
    </xf>
    <xf numFmtId="165" fontId="16" fillId="11" borderId="0" xfId="0" applyFont="1" applyFill="1" applyAlignment="1">
      <alignment horizontal="center" vertical="center"/>
    </xf>
    <xf numFmtId="167" fontId="16" fillId="11" borderId="0" xfId="0" quotePrefix="1" applyNumberFormat="1" applyFont="1" applyFill="1" applyAlignment="1">
      <alignment horizontal="center" vertical="center"/>
    </xf>
    <xf numFmtId="165" fontId="0" fillId="0" borderId="5" xfId="0" applyBorder="1"/>
    <xf numFmtId="0" fontId="16" fillId="25" borderId="5" xfId="0" applyNumberFormat="1" applyFont="1" applyFill="1" applyBorder="1" applyAlignment="1">
      <alignment horizontal="center" vertical="center"/>
    </xf>
    <xf numFmtId="49" fontId="15" fillId="4" borderId="5" xfId="0" applyNumberFormat="1" applyFont="1" applyFill="1" applyBorder="1" applyAlignment="1">
      <alignment vertical="center"/>
    </xf>
    <xf numFmtId="49" fontId="20" fillId="4" borderId="5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8" fillId="8" borderId="5" xfId="0" applyNumberFormat="1" applyFont="1" applyFill="1" applyBorder="1"/>
    <xf numFmtId="49" fontId="0" fillId="13" borderId="0" xfId="0" applyNumberFormat="1" applyFill="1"/>
    <xf numFmtId="49" fontId="0" fillId="11" borderId="0" xfId="0" applyNumberFormat="1" applyFill="1"/>
    <xf numFmtId="49" fontId="0" fillId="17" borderId="0" xfId="0" applyNumberFormat="1" applyFill="1"/>
    <xf numFmtId="49" fontId="0" fillId="19" borderId="0" xfId="0" applyNumberFormat="1" applyFill="1"/>
    <xf numFmtId="49" fontId="0" fillId="21" borderId="0" xfId="0" applyNumberFormat="1" applyFill="1"/>
    <xf numFmtId="49" fontId="0" fillId="23" borderId="0" xfId="0" applyNumberFormat="1" applyFill="1"/>
    <xf numFmtId="49" fontId="0" fillId="25" borderId="0" xfId="0" applyNumberFormat="1" applyFill="1"/>
    <xf numFmtId="49" fontId="0" fillId="27" borderId="0" xfId="0" applyNumberFormat="1" applyFill="1"/>
    <xf numFmtId="49" fontId="14" fillId="25" borderId="0" xfId="0" applyNumberFormat="1" applyFont="1" applyFill="1"/>
    <xf numFmtId="165" fontId="15" fillId="33" borderId="5" xfId="0" applyFont="1" applyFill="1" applyBorder="1" applyAlignment="1">
      <alignment horizontal="left" vertical="center"/>
    </xf>
    <xf numFmtId="165" fontId="0" fillId="0" borderId="5" xfId="0" applyBorder="1" applyAlignment="1">
      <alignment horizontal="left"/>
    </xf>
    <xf numFmtId="165" fontId="0" fillId="0" borderId="0" xfId="0" applyAlignment="1">
      <alignment horizontal="left"/>
    </xf>
    <xf numFmtId="49" fontId="0" fillId="0" borderId="5" xfId="0" applyNumberFormat="1" applyBorder="1"/>
    <xf numFmtId="165" fontId="14" fillId="0" borderId="5" xfId="0" applyFont="1" applyBorder="1" applyAlignment="1">
      <alignment horizontal="left"/>
    </xf>
    <xf numFmtId="165" fontId="0" fillId="0" borderId="0" xfId="0" applyAlignment="1">
      <alignment horizontal="right"/>
    </xf>
    <xf numFmtId="1" fontId="16" fillId="19" borderId="5" xfId="0" applyNumberFormat="1" applyFont="1" applyFill="1" applyBorder="1" applyAlignment="1">
      <alignment horizontal="center" vertical="center"/>
    </xf>
    <xf numFmtId="49" fontId="13" fillId="0" borderId="0" xfId="0" applyNumberFormat="1" applyFont="1"/>
    <xf numFmtId="167" fontId="0" fillId="0" borderId="0" xfId="0" applyNumberFormat="1" applyAlignment="1">
      <alignment horizontal="left"/>
    </xf>
    <xf numFmtId="165" fontId="42" fillId="19" borderId="0" xfId="0" applyFont="1" applyFill="1"/>
    <xf numFmtId="166" fontId="16" fillId="19" borderId="5" xfId="0" applyNumberFormat="1" applyFont="1" applyFill="1" applyBorder="1" applyAlignment="1">
      <alignment horizontal="center" vertical="center"/>
    </xf>
    <xf numFmtId="166" fontId="16" fillId="19" borderId="5" xfId="0" applyNumberFormat="1" applyFont="1" applyFill="1" applyBorder="1" applyAlignment="1">
      <alignment horizontal="right" vertical="center"/>
    </xf>
    <xf numFmtId="0" fontId="33" fillId="0" borderId="23" xfId="0" applyNumberFormat="1" applyFont="1" applyBorder="1" applyAlignment="1">
      <alignment horizontal="center"/>
    </xf>
    <xf numFmtId="166" fontId="33" fillId="0" borderId="23" xfId="0" applyNumberFormat="1" applyFont="1" applyBorder="1" applyAlignment="1">
      <alignment horizontal="left"/>
    </xf>
    <xf numFmtId="165" fontId="15" fillId="34" borderId="0" xfId="0" applyFont="1" applyFill="1" applyAlignment="1">
      <alignment horizontal="center" vertical="center"/>
    </xf>
    <xf numFmtId="167" fontId="15" fillId="34" borderId="0" xfId="0" applyNumberFormat="1" applyFont="1" applyFill="1" applyAlignment="1">
      <alignment horizontal="center" vertical="center"/>
    </xf>
    <xf numFmtId="0" fontId="15" fillId="34" borderId="0" xfId="0" applyNumberFormat="1" applyFont="1" applyFill="1" applyAlignment="1">
      <alignment horizontal="center" vertical="center"/>
    </xf>
    <xf numFmtId="165" fontId="15" fillId="34" borderId="0" xfId="0" applyFont="1" applyFill="1" applyAlignment="1">
      <alignment vertical="center"/>
    </xf>
    <xf numFmtId="165" fontId="21" fillId="34" borderId="0" xfId="0" applyFont="1" applyFill="1" applyAlignment="1">
      <alignment horizontal="center" vertical="center"/>
    </xf>
    <xf numFmtId="166" fontId="15" fillId="34" borderId="5" xfId="0" applyNumberFormat="1" applyFont="1" applyFill="1" applyBorder="1" applyAlignment="1">
      <alignment horizontal="right" vertical="center"/>
    </xf>
    <xf numFmtId="166" fontId="15" fillId="34" borderId="5" xfId="0" applyNumberFormat="1" applyFont="1" applyFill="1" applyBorder="1" applyAlignment="1">
      <alignment horizontal="center" vertical="center"/>
    </xf>
    <xf numFmtId="1" fontId="15" fillId="34" borderId="5" xfId="0" applyNumberFormat="1" applyFont="1" applyFill="1" applyBorder="1" applyAlignment="1">
      <alignment horizontal="center" vertical="center"/>
    </xf>
    <xf numFmtId="165" fontId="15" fillId="34" borderId="5" xfId="0" applyFont="1" applyFill="1" applyBorder="1" applyAlignment="1">
      <alignment horizontal="center" vertical="center"/>
    </xf>
    <xf numFmtId="0" fontId="15" fillId="34" borderId="5" xfId="0" applyNumberFormat="1" applyFont="1" applyFill="1" applyBorder="1" applyAlignment="1">
      <alignment horizontal="center" vertical="center"/>
    </xf>
    <xf numFmtId="2" fontId="15" fillId="34" borderId="5" xfId="0" applyNumberFormat="1" applyFont="1" applyFill="1" applyBorder="1" applyAlignment="1">
      <alignment horizontal="center" vertical="center"/>
    </xf>
    <xf numFmtId="165" fontId="15" fillId="34" borderId="0" xfId="0" applyFont="1" applyFill="1" applyAlignment="1">
      <alignment horizontal="left" vertical="center"/>
    </xf>
    <xf numFmtId="165" fontId="15" fillId="35" borderId="5" xfId="0" applyFont="1" applyFill="1" applyBorder="1" applyAlignment="1">
      <alignment horizontal="center" vertical="center"/>
    </xf>
    <xf numFmtId="167" fontId="15" fillId="35" borderId="5" xfId="0" applyNumberFormat="1" applyFont="1" applyFill="1" applyBorder="1" applyAlignment="1">
      <alignment horizontal="center" vertical="center"/>
    </xf>
    <xf numFmtId="2" fontId="15" fillId="35" borderId="5" xfId="0" applyNumberFormat="1" applyFont="1" applyFill="1" applyBorder="1" applyAlignment="1">
      <alignment horizontal="center" vertical="center"/>
    </xf>
    <xf numFmtId="2" fontId="15" fillId="34" borderId="0" xfId="0" applyNumberFormat="1" applyFont="1" applyFill="1" applyAlignment="1">
      <alignment vertical="center"/>
    </xf>
    <xf numFmtId="49" fontId="0" fillId="34" borderId="0" xfId="0" applyNumberFormat="1" applyFill="1"/>
    <xf numFmtId="165" fontId="0" fillId="34" borderId="0" xfId="0" applyFill="1"/>
    <xf numFmtId="167" fontId="15" fillId="34" borderId="0" xfId="0" quotePrefix="1" applyNumberFormat="1" applyFont="1" applyFill="1" applyAlignment="1">
      <alignment horizontal="center" vertical="center"/>
    </xf>
    <xf numFmtId="165" fontId="12" fillId="0" borderId="5" xfId="0" applyFont="1" applyBorder="1" applyAlignment="1">
      <alignment horizontal="left"/>
    </xf>
    <xf numFmtId="0" fontId="16" fillId="19" borderId="5" xfId="0" applyNumberFormat="1" applyFont="1" applyFill="1" applyBorder="1" applyAlignment="1">
      <alignment horizontal="center" vertical="center"/>
    </xf>
    <xf numFmtId="169" fontId="0" fillId="25" borderId="0" xfId="0" applyNumberFormat="1" applyFill="1"/>
    <xf numFmtId="169" fontId="0" fillId="0" borderId="0" xfId="0" applyNumberFormat="1"/>
    <xf numFmtId="169" fontId="20" fillId="4" borderId="5" xfId="0" applyNumberFormat="1" applyFont="1" applyFill="1" applyBorder="1" applyAlignment="1">
      <alignment horizontal="center" vertical="center"/>
    </xf>
    <xf numFmtId="169" fontId="18" fillId="8" borderId="5" xfId="0" applyNumberFormat="1" applyFont="1" applyFill="1" applyBorder="1"/>
    <xf numFmtId="169" fontId="0" fillId="13" borderId="0" xfId="0" applyNumberFormat="1" applyFill="1"/>
    <xf numFmtId="169" fontId="0" fillId="11" borderId="0" xfId="0" applyNumberFormat="1" applyFill="1"/>
    <xf numFmtId="169" fontId="0" fillId="17" borderId="0" xfId="0" applyNumberFormat="1" applyFill="1"/>
    <xf numFmtId="169" fontId="0" fillId="19" borderId="0" xfId="0" applyNumberFormat="1" applyFill="1"/>
    <xf numFmtId="169" fontId="0" fillId="21" borderId="0" xfId="0" applyNumberFormat="1" applyFill="1"/>
    <xf numFmtId="169" fontId="0" fillId="23" borderId="0" xfId="0" applyNumberFormat="1" applyFill="1"/>
    <xf numFmtId="169" fontId="0" fillId="27" borderId="0" xfId="0" applyNumberFormat="1" applyFill="1"/>
    <xf numFmtId="169" fontId="0" fillId="29" borderId="0" xfId="0" applyNumberFormat="1" applyFill="1"/>
    <xf numFmtId="169" fontId="0" fillId="31" borderId="0" xfId="0" applyNumberFormat="1" applyFill="1"/>
    <xf numFmtId="169" fontId="0" fillId="34" borderId="0" xfId="0" applyNumberFormat="1" applyFill="1"/>
    <xf numFmtId="170" fontId="0" fillId="34" borderId="0" xfId="0" applyNumberFormat="1" applyFill="1"/>
    <xf numFmtId="170" fontId="0" fillId="0" borderId="0" xfId="0" applyNumberFormat="1"/>
    <xf numFmtId="165" fontId="11" fillId="0" borderId="5" xfId="0" applyFont="1" applyBorder="1" applyAlignment="1">
      <alignment horizontal="left"/>
    </xf>
    <xf numFmtId="49" fontId="0" fillId="0" borderId="0" xfId="0" applyNumberFormat="1" applyAlignment="1">
      <alignment horizontal="center"/>
    </xf>
    <xf numFmtId="0" fontId="11" fillId="25" borderId="0" xfId="0" applyNumberFormat="1" applyFont="1" applyFill="1" applyAlignment="1">
      <alignment horizontal="center"/>
    </xf>
    <xf numFmtId="169" fontId="0" fillId="0" borderId="0" xfId="0" applyNumberFormat="1" applyAlignment="1">
      <alignment horizontal="center"/>
    </xf>
    <xf numFmtId="165" fontId="10" fillId="0" borderId="5" xfId="0" applyFont="1" applyBorder="1" applyAlignment="1">
      <alignment horizontal="left"/>
    </xf>
    <xf numFmtId="165" fontId="10" fillId="0" borderId="0" xfId="0" applyFont="1" applyAlignment="1">
      <alignment horizontal="left"/>
    </xf>
    <xf numFmtId="0" fontId="15" fillId="4" borderId="5" xfId="0" applyNumberFormat="1" applyFont="1" applyFill="1" applyBorder="1" applyAlignment="1">
      <alignment horizontal="center" vertical="center"/>
    </xf>
    <xf numFmtId="0" fontId="20" fillId="4" borderId="5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8" fillId="8" borderId="5" xfId="0" applyNumberFormat="1" applyFont="1" applyFill="1" applyBorder="1" applyAlignment="1">
      <alignment horizontal="center"/>
    </xf>
    <xf numFmtId="0" fontId="0" fillId="13" borderId="0" xfId="0" applyNumberFormat="1" applyFill="1" applyAlignment="1">
      <alignment horizontal="center"/>
    </xf>
    <xf numFmtId="0" fontId="0" fillId="11" borderId="0" xfId="0" applyNumberFormat="1" applyFill="1" applyAlignment="1">
      <alignment horizontal="center"/>
    </xf>
    <xf numFmtId="0" fontId="0" fillId="17" borderId="0" xfId="0" applyNumberFormat="1" applyFill="1" applyAlignment="1">
      <alignment horizontal="center"/>
    </xf>
    <xf numFmtId="0" fontId="0" fillId="19" borderId="0" xfId="0" applyNumberFormat="1" applyFill="1" applyAlignment="1">
      <alignment horizontal="center"/>
    </xf>
    <xf numFmtId="0" fontId="0" fillId="21" borderId="0" xfId="0" applyNumberFormat="1" applyFill="1" applyAlignment="1">
      <alignment horizontal="center"/>
    </xf>
    <xf numFmtId="0" fontId="0" fillId="23" borderId="0" xfId="0" applyNumberFormat="1" applyFill="1" applyAlignment="1">
      <alignment horizontal="center"/>
    </xf>
    <xf numFmtId="0" fontId="0" fillId="25" borderId="0" xfId="0" applyNumberFormat="1" applyFill="1" applyAlignment="1">
      <alignment horizontal="center"/>
    </xf>
    <xf numFmtId="0" fontId="0" fillId="27" borderId="0" xfId="0" applyNumberFormat="1" applyFill="1" applyAlignment="1">
      <alignment horizontal="center"/>
    </xf>
    <xf numFmtId="0" fontId="11" fillId="29" borderId="0" xfId="0" applyNumberFormat="1" applyFont="1" applyFill="1" applyAlignment="1">
      <alignment horizontal="center"/>
    </xf>
    <xf numFmtId="0" fontId="11" fillId="0" borderId="0" xfId="0" applyNumberFormat="1" applyFont="1" applyAlignment="1">
      <alignment horizontal="center"/>
    </xf>
    <xf numFmtId="0" fontId="11" fillId="31" borderId="0" xfId="0" applyNumberFormat="1" applyFont="1" applyFill="1" applyAlignment="1">
      <alignment horizontal="center"/>
    </xf>
    <xf numFmtId="0" fontId="11" fillId="11" borderId="0" xfId="0" applyNumberFormat="1" applyFont="1" applyFill="1" applyAlignment="1">
      <alignment horizontal="center"/>
    </xf>
    <xf numFmtId="0" fontId="11" fillId="19" borderId="0" xfId="0" applyNumberFormat="1" applyFont="1" applyFill="1" applyAlignment="1">
      <alignment horizontal="center"/>
    </xf>
    <xf numFmtId="0" fontId="11" fillId="34" borderId="0" xfId="0" applyNumberFormat="1" applyFont="1" applyFill="1" applyAlignment="1">
      <alignment horizontal="center"/>
    </xf>
    <xf numFmtId="49" fontId="9" fillId="25" borderId="0" xfId="0" applyNumberFormat="1" applyFont="1" applyFill="1" applyAlignment="1">
      <alignment horizontal="center"/>
    </xf>
    <xf numFmtId="170" fontId="0" fillId="25" borderId="0" xfId="0" applyNumberFormat="1" applyFill="1"/>
    <xf numFmtId="169" fontId="20" fillId="4" borderId="5" xfId="0" applyNumberFormat="1" applyFont="1" applyFill="1" applyBorder="1" applyAlignment="1">
      <alignment horizontal="center" vertical="center" wrapText="1"/>
    </xf>
    <xf numFmtId="165" fontId="15" fillId="36" borderId="0" xfId="0" applyFont="1" applyFill="1" applyAlignment="1">
      <alignment horizontal="center" vertical="center"/>
    </xf>
    <xf numFmtId="167" fontId="15" fillId="36" borderId="0" xfId="0" applyNumberFormat="1" applyFont="1" applyFill="1" applyAlignment="1">
      <alignment horizontal="center" vertical="center"/>
    </xf>
    <xf numFmtId="0" fontId="15" fillId="36" borderId="0" xfId="0" applyNumberFormat="1" applyFont="1" applyFill="1" applyAlignment="1">
      <alignment horizontal="center" vertical="center"/>
    </xf>
    <xf numFmtId="165" fontId="15" fillId="36" borderId="0" xfId="0" applyFont="1" applyFill="1" applyAlignment="1">
      <alignment vertical="center"/>
    </xf>
    <xf numFmtId="165" fontId="21" fillId="36" borderId="0" xfId="0" applyFont="1" applyFill="1" applyAlignment="1">
      <alignment horizontal="center" vertical="center"/>
    </xf>
    <xf numFmtId="165" fontId="15" fillId="36" borderId="5" xfId="0" applyFont="1" applyFill="1" applyBorder="1" applyAlignment="1">
      <alignment horizontal="center" vertical="center"/>
    </xf>
    <xf numFmtId="2" fontId="15" fillId="36" borderId="5" xfId="0" applyNumberFormat="1" applyFont="1" applyFill="1" applyBorder="1" applyAlignment="1">
      <alignment horizontal="center" vertical="center"/>
    </xf>
    <xf numFmtId="165" fontId="15" fillId="36" borderId="0" xfId="0" applyFont="1" applyFill="1" applyAlignment="1">
      <alignment horizontal="left" vertical="center"/>
    </xf>
    <xf numFmtId="167" fontId="15" fillId="36" borderId="0" xfId="0" quotePrefix="1" applyNumberFormat="1" applyFont="1" applyFill="1" applyAlignment="1">
      <alignment horizontal="center" vertical="center"/>
    </xf>
    <xf numFmtId="165" fontId="15" fillId="37" borderId="5" xfId="0" applyFont="1" applyFill="1" applyBorder="1" applyAlignment="1">
      <alignment horizontal="center" vertical="center"/>
    </xf>
    <xf numFmtId="165" fontId="16" fillId="37" borderId="5" xfId="0" applyFont="1" applyFill="1" applyBorder="1" applyAlignment="1">
      <alignment horizontal="center" vertical="center"/>
    </xf>
    <xf numFmtId="167" fontId="15" fillId="37" borderId="5" xfId="0" applyNumberFormat="1" applyFont="1" applyFill="1" applyBorder="1" applyAlignment="1">
      <alignment horizontal="center" vertical="center"/>
    </xf>
    <xf numFmtId="2" fontId="15" fillId="37" borderId="5" xfId="0" applyNumberFormat="1" applyFont="1" applyFill="1" applyBorder="1" applyAlignment="1">
      <alignment horizontal="center" vertical="center"/>
    </xf>
    <xf numFmtId="2" fontId="15" fillId="36" borderId="0" xfId="0" applyNumberFormat="1" applyFont="1" applyFill="1" applyAlignment="1">
      <alignment vertical="center"/>
    </xf>
    <xf numFmtId="49" fontId="0" fillId="36" borderId="0" xfId="0" applyNumberFormat="1" applyFill="1"/>
    <xf numFmtId="0" fontId="11" fillId="36" borderId="0" xfId="0" applyNumberFormat="1" applyFont="1" applyFill="1" applyAlignment="1">
      <alignment horizontal="center"/>
    </xf>
    <xf numFmtId="169" fontId="0" fillId="36" borderId="0" xfId="0" applyNumberFormat="1" applyFill="1"/>
    <xf numFmtId="165" fontId="0" fillId="36" borderId="0" xfId="0" applyFill="1"/>
    <xf numFmtId="165" fontId="16" fillId="34" borderId="0" xfId="0" applyFont="1" applyFill="1" applyAlignment="1">
      <alignment vertical="center"/>
    </xf>
    <xf numFmtId="165" fontId="43" fillId="0" borderId="0" xfId="0" applyFont="1" applyAlignment="1">
      <alignment horizontal="center" vertical="center"/>
    </xf>
    <xf numFmtId="0" fontId="15" fillId="7" borderId="5" xfId="0" quotePrefix="1" applyNumberFormat="1" applyFont="1" applyFill="1" applyBorder="1" applyAlignment="1">
      <alignment horizontal="center" vertical="center"/>
    </xf>
    <xf numFmtId="0" fontId="15" fillId="38" borderId="5" xfId="0" applyNumberFormat="1" applyFont="1" applyFill="1" applyBorder="1" applyAlignment="1">
      <alignment horizontal="center" vertical="center"/>
    </xf>
    <xf numFmtId="165" fontId="15" fillId="38" borderId="5" xfId="0" applyFont="1" applyFill="1" applyBorder="1" applyAlignment="1">
      <alignment horizontal="left" vertical="center"/>
    </xf>
    <xf numFmtId="0" fontId="0" fillId="0" borderId="0" xfId="0" applyNumberFormat="1" applyAlignment="1">
      <alignment horizontal="left"/>
    </xf>
    <xf numFmtId="1" fontId="16" fillId="36" borderId="5" xfId="0" applyNumberFormat="1" applyFont="1" applyFill="1" applyBorder="1" applyAlignment="1">
      <alignment horizontal="center" vertical="center"/>
    </xf>
    <xf numFmtId="165" fontId="15" fillId="35" borderId="5" xfId="0" quotePrefix="1" applyFont="1" applyFill="1" applyBorder="1" applyAlignment="1">
      <alignment horizontal="center" vertical="center"/>
    </xf>
    <xf numFmtId="1" fontId="44" fillId="0" borderId="0" xfId="1" applyNumberFormat="1" applyFont="1" applyAlignment="1">
      <alignment horizontal="center"/>
    </xf>
    <xf numFmtId="1" fontId="8" fillId="34" borderId="0" xfId="0" quotePrefix="1" applyNumberFormat="1" applyFont="1" applyFill="1" applyAlignment="1">
      <alignment horizontal="center"/>
    </xf>
    <xf numFmtId="165" fontId="16" fillId="34" borderId="0" xfId="0" applyFont="1" applyFill="1" applyAlignment="1">
      <alignment horizontal="center" vertical="center"/>
    </xf>
    <xf numFmtId="165" fontId="16" fillId="25" borderId="0" xfId="0" applyFont="1" applyFill="1" applyAlignment="1">
      <alignment vertical="center"/>
    </xf>
    <xf numFmtId="165" fontId="45" fillId="0" borderId="0" xfId="0" applyFont="1" applyAlignment="1">
      <alignment horizontal="center" vertical="center"/>
    </xf>
    <xf numFmtId="170" fontId="0" fillId="31" borderId="0" xfId="0" applyNumberFormat="1" applyFill="1"/>
    <xf numFmtId="165" fontId="15" fillId="39" borderId="0" xfId="0" applyFont="1" applyFill="1" applyAlignment="1">
      <alignment horizontal="center" vertical="center"/>
    </xf>
    <xf numFmtId="167" fontId="15" fillId="39" borderId="0" xfId="0" applyNumberFormat="1" applyFont="1" applyFill="1" applyAlignment="1">
      <alignment horizontal="center" vertical="center"/>
    </xf>
    <xf numFmtId="0" fontId="15" fillId="39" borderId="0" xfId="0" applyNumberFormat="1" applyFont="1" applyFill="1" applyAlignment="1">
      <alignment horizontal="center" vertical="center"/>
    </xf>
    <xf numFmtId="165" fontId="35" fillId="39" borderId="0" xfId="0" applyFont="1" applyFill="1" applyAlignment="1">
      <alignment horizontal="center" vertical="center"/>
    </xf>
    <xf numFmtId="165" fontId="15" fillId="39" borderId="0" xfId="0" applyFont="1" applyFill="1" applyAlignment="1">
      <alignment vertical="center"/>
    </xf>
    <xf numFmtId="165" fontId="21" fillId="39" borderId="0" xfId="0" applyFont="1" applyFill="1" applyAlignment="1">
      <alignment horizontal="center" vertical="center"/>
    </xf>
    <xf numFmtId="165" fontId="15" fillId="39" borderId="5" xfId="0" applyFont="1" applyFill="1" applyBorder="1" applyAlignment="1">
      <alignment horizontal="center" vertical="center"/>
    </xf>
    <xf numFmtId="2" fontId="15" fillId="39" borderId="5" xfId="0" applyNumberFormat="1" applyFont="1" applyFill="1" applyBorder="1" applyAlignment="1">
      <alignment horizontal="center" vertical="center"/>
    </xf>
    <xf numFmtId="165" fontId="15" fillId="39" borderId="0" xfId="0" applyFont="1" applyFill="1" applyAlignment="1">
      <alignment horizontal="left" vertical="center"/>
    </xf>
    <xf numFmtId="165" fontId="15" fillId="40" borderId="5" xfId="0" applyFont="1" applyFill="1" applyBorder="1" applyAlignment="1">
      <alignment horizontal="center" vertical="center"/>
    </xf>
    <xf numFmtId="167" fontId="15" fillId="40" borderId="5" xfId="0" applyNumberFormat="1" applyFont="1" applyFill="1" applyBorder="1" applyAlignment="1">
      <alignment horizontal="center" vertical="center"/>
    </xf>
    <xf numFmtId="2" fontId="15" fillId="40" borderId="5" xfId="0" applyNumberFormat="1" applyFont="1" applyFill="1" applyBorder="1" applyAlignment="1">
      <alignment horizontal="center" vertical="center"/>
    </xf>
    <xf numFmtId="2" fontId="15" fillId="39" borderId="0" xfId="0" applyNumberFormat="1" applyFont="1" applyFill="1" applyAlignment="1">
      <alignment vertical="center"/>
    </xf>
    <xf numFmtId="0" fontId="0" fillId="39" borderId="0" xfId="0" applyNumberFormat="1" applyFill="1" applyAlignment="1">
      <alignment horizontal="center"/>
    </xf>
    <xf numFmtId="170" fontId="0" fillId="39" borderId="0" xfId="0" applyNumberFormat="1" applyFill="1"/>
    <xf numFmtId="169" fontId="0" fillId="39" borderId="0" xfId="0" applyNumberFormat="1" applyFill="1"/>
    <xf numFmtId="165" fontId="0" fillId="39" borderId="0" xfId="0" applyFill="1"/>
    <xf numFmtId="0" fontId="16" fillId="39" borderId="5" xfId="0" applyNumberFormat="1" applyFont="1" applyFill="1" applyBorder="1" applyAlignment="1">
      <alignment horizontal="center" vertical="center"/>
    </xf>
    <xf numFmtId="166" fontId="16" fillId="34" borderId="5" xfId="0" applyNumberFormat="1" applyFont="1" applyFill="1" applyBorder="1" applyAlignment="1">
      <alignment horizontal="right" vertical="center"/>
    </xf>
    <xf numFmtId="0" fontId="16" fillId="34" borderId="0" xfId="0" applyNumberFormat="1" applyFont="1" applyFill="1" applyAlignment="1">
      <alignment horizontal="center" vertical="center"/>
    </xf>
    <xf numFmtId="165" fontId="16" fillId="34" borderId="0" xfId="0" applyFont="1" applyFill="1" applyAlignment="1">
      <alignment horizontal="left" vertical="center"/>
    </xf>
    <xf numFmtId="167" fontId="15" fillId="39" borderId="0" xfId="0" quotePrefix="1" applyNumberFormat="1" applyFont="1" applyFill="1" applyAlignment="1">
      <alignment horizontal="center" vertical="center"/>
    </xf>
    <xf numFmtId="167" fontId="15" fillId="31" borderId="0" xfId="0" quotePrefix="1" applyNumberFormat="1" applyFont="1" applyFill="1" applyAlignment="1">
      <alignment horizontal="center" vertical="center"/>
    </xf>
    <xf numFmtId="166" fontId="15" fillId="31" borderId="5" xfId="0" applyNumberFormat="1" applyFont="1" applyFill="1" applyBorder="1" applyAlignment="1">
      <alignment horizontal="right" vertical="center"/>
    </xf>
    <xf numFmtId="1" fontId="15" fillId="31" borderId="5" xfId="0" applyNumberFormat="1" applyFont="1" applyFill="1" applyBorder="1" applyAlignment="1">
      <alignment horizontal="center" vertical="center"/>
    </xf>
    <xf numFmtId="0" fontId="16" fillId="31" borderId="5" xfId="0" applyNumberFormat="1" applyFont="1" applyFill="1" applyBorder="1" applyAlignment="1">
      <alignment horizontal="center" vertical="center"/>
    </xf>
    <xf numFmtId="2" fontId="16" fillId="13" borderId="5" xfId="0" quotePrefix="1" applyNumberFormat="1" applyFont="1" applyFill="1" applyBorder="1" applyAlignment="1">
      <alignment horizontal="center" vertical="center"/>
    </xf>
    <xf numFmtId="167" fontId="15" fillId="13" borderId="0" xfId="0" quotePrefix="1" applyNumberFormat="1" applyFont="1" applyFill="1" applyAlignment="1">
      <alignment horizontal="center" vertical="center"/>
    </xf>
    <xf numFmtId="170" fontId="0" fillId="13" borderId="0" xfId="0" applyNumberFormat="1" applyFill="1"/>
    <xf numFmtId="165" fontId="16" fillId="13" borderId="0" xfId="0" applyFont="1" applyFill="1" applyAlignment="1">
      <alignment horizontal="center" vertical="center"/>
    </xf>
    <xf numFmtId="0" fontId="0" fillId="41" borderId="0" xfId="0" applyNumberFormat="1" applyFill="1" applyAlignment="1">
      <alignment horizontal="center"/>
    </xf>
    <xf numFmtId="2" fontId="15" fillId="35" borderId="5" xfId="0" applyNumberFormat="1" applyFont="1" applyFill="1" applyBorder="1" applyAlignment="1">
      <alignment vertical="center"/>
    </xf>
    <xf numFmtId="0" fontId="0" fillId="34" borderId="0" xfId="0" applyNumberFormat="1" applyFill="1" applyAlignment="1">
      <alignment horizontal="center"/>
    </xf>
    <xf numFmtId="165" fontId="35" fillId="34" borderId="0" xfId="0" applyFont="1" applyFill="1" applyAlignment="1">
      <alignment horizontal="center" vertical="center"/>
    </xf>
    <xf numFmtId="2" fontId="15" fillId="40" borderId="5" xfId="0" applyNumberFormat="1" applyFont="1" applyFill="1" applyBorder="1" applyAlignment="1">
      <alignment vertical="center"/>
    </xf>
    <xf numFmtId="1" fontId="16" fillId="39" borderId="5" xfId="0" applyNumberFormat="1" applyFont="1" applyFill="1" applyBorder="1" applyAlignment="1">
      <alignment horizontal="center" vertical="center"/>
    </xf>
    <xf numFmtId="0" fontId="16" fillId="13" borderId="5" xfId="0" applyNumberFormat="1" applyFont="1" applyFill="1" applyBorder="1" applyAlignment="1">
      <alignment horizontal="center" vertical="center"/>
    </xf>
    <xf numFmtId="0" fontId="16" fillId="36" borderId="5" xfId="0" applyNumberFormat="1" applyFont="1" applyFill="1" applyBorder="1" applyAlignment="1">
      <alignment horizontal="center" vertical="center"/>
    </xf>
    <xf numFmtId="166" fontId="35" fillId="0" borderId="5" xfId="0" applyNumberFormat="1" applyFont="1" applyBorder="1" applyAlignment="1">
      <alignment horizontal="center" vertical="center"/>
    </xf>
    <xf numFmtId="166" fontId="16" fillId="39" borderId="5" xfId="0" applyNumberFormat="1" applyFont="1" applyFill="1" applyBorder="1" applyAlignment="1">
      <alignment horizontal="center" vertical="center"/>
    </xf>
    <xf numFmtId="166" fontId="16" fillId="36" borderId="5" xfId="0" applyNumberFormat="1" applyFont="1" applyFill="1" applyBorder="1" applyAlignment="1">
      <alignment horizontal="center" vertical="center"/>
    </xf>
    <xf numFmtId="166" fontId="16" fillId="36" borderId="5" xfId="0" applyNumberFormat="1" applyFont="1" applyFill="1" applyBorder="1" applyAlignment="1">
      <alignment horizontal="right" vertical="center"/>
    </xf>
    <xf numFmtId="165" fontId="35" fillId="13" borderId="0" xfId="0" applyFont="1" applyFill="1" applyAlignment="1">
      <alignment horizontal="center" vertical="center"/>
    </xf>
    <xf numFmtId="166" fontId="16" fillId="39" borderId="5" xfId="0" applyNumberFormat="1" applyFont="1" applyFill="1" applyBorder="1" applyAlignment="1">
      <alignment horizontal="right" vertical="center"/>
    </xf>
    <xf numFmtId="1" fontId="15" fillId="39" borderId="5" xfId="0" applyNumberFormat="1" applyFont="1" applyFill="1" applyBorder="1" applyAlignment="1">
      <alignment horizontal="center" vertical="center"/>
    </xf>
    <xf numFmtId="166" fontId="15" fillId="39" borderId="5" xfId="0" applyNumberFormat="1" applyFont="1" applyFill="1" applyBorder="1" applyAlignment="1">
      <alignment horizontal="right" vertical="center"/>
    </xf>
    <xf numFmtId="166" fontId="15" fillId="39" borderId="5" xfId="0" applyNumberFormat="1" applyFont="1" applyFill="1" applyBorder="1" applyAlignment="1">
      <alignment horizontal="center" vertical="center"/>
    </xf>
    <xf numFmtId="0" fontId="15" fillId="39" borderId="5" xfId="0" applyNumberFormat="1" applyFont="1" applyFill="1" applyBorder="1" applyAlignment="1">
      <alignment horizontal="center" vertical="center"/>
    </xf>
    <xf numFmtId="167" fontId="16" fillId="39" borderId="0" xfId="0" applyNumberFormat="1" applyFont="1" applyFill="1" applyAlignment="1">
      <alignment horizontal="center" vertical="center"/>
    </xf>
    <xf numFmtId="167" fontId="16" fillId="39" borderId="0" xfId="0" quotePrefix="1" applyNumberFormat="1" applyFont="1" applyFill="1" applyAlignment="1">
      <alignment horizontal="center" vertical="center"/>
    </xf>
    <xf numFmtId="2" fontId="15" fillId="16" borderId="5" xfId="0" applyNumberFormat="1" applyFont="1" applyFill="1" applyBorder="1" applyAlignment="1">
      <alignment vertical="center"/>
    </xf>
    <xf numFmtId="170" fontId="0" fillId="11" borderId="0" xfId="0" applyNumberFormat="1" applyFill="1"/>
    <xf numFmtId="49" fontId="7" fillId="25" borderId="0" xfId="0" applyNumberFormat="1" applyFont="1" applyFill="1"/>
    <xf numFmtId="167" fontId="15" fillId="0" borderId="5" xfId="0" applyNumberFormat="1" applyFont="1" applyBorder="1" applyAlignment="1">
      <alignment horizontal="center" vertical="center"/>
    </xf>
    <xf numFmtId="167" fontId="15" fillId="34" borderId="5" xfId="0" applyNumberFormat="1" applyFont="1" applyFill="1" applyBorder="1" applyAlignment="1">
      <alignment horizontal="center" vertical="center"/>
    </xf>
    <xf numFmtId="2" fontId="15" fillId="34" borderId="5" xfId="0" applyNumberFormat="1" applyFont="1" applyFill="1" applyBorder="1" applyAlignment="1">
      <alignment vertical="center"/>
    </xf>
    <xf numFmtId="166" fontId="16" fillId="34" borderId="5" xfId="0" applyNumberFormat="1" applyFont="1" applyFill="1" applyBorder="1" applyAlignment="1">
      <alignment horizontal="center" vertical="center"/>
    </xf>
    <xf numFmtId="0" fontId="16" fillId="34" borderId="5" xfId="0" applyNumberFormat="1" applyFont="1" applyFill="1" applyBorder="1" applyAlignment="1">
      <alignment horizontal="center" vertical="center"/>
    </xf>
    <xf numFmtId="0" fontId="16" fillId="11" borderId="5" xfId="0" applyNumberFormat="1" applyFont="1" applyFill="1" applyBorder="1" applyAlignment="1">
      <alignment horizontal="center" vertical="center"/>
    </xf>
    <xf numFmtId="167" fontId="15" fillId="39" borderId="5" xfId="0" applyNumberFormat="1" applyFont="1" applyFill="1" applyBorder="1" applyAlignment="1">
      <alignment horizontal="center" vertical="center"/>
    </xf>
    <xf numFmtId="2" fontId="15" fillId="39" borderId="5" xfId="0" applyNumberFormat="1" applyFont="1" applyFill="1" applyBorder="1" applyAlignment="1">
      <alignment vertical="center"/>
    </xf>
    <xf numFmtId="167" fontId="15" fillId="13" borderId="5" xfId="0" applyNumberFormat="1" applyFont="1" applyFill="1" applyBorder="1" applyAlignment="1">
      <alignment horizontal="center" vertical="center"/>
    </xf>
    <xf numFmtId="2" fontId="15" fillId="13" borderId="5" xfId="0" applyNumberFormat="1" applyFont="1" applyFill="1" applyBorder="1" applyAlignment="1">
      <alignment vertical="center"/>
    </xf>
    <xf numFmtId="0" fontId="15" fillId="34" borderId="0" xfId="0" applyNumberFormat="1" applyFont="1" applyFill="1" applyAlignment="1">
      <alignment horizontal="left" vertical="center"/>
    </xf>
    <xf numFmtId="0" fontId="15" fillId="34" borderId="0" xfId="0" quotePrefix="1" applyNumberFormat="1" applyFont="1" applyFill="1" applyAlignment="1">
      <alignment horizontal="left" vertical="center"/>
    </xf>
    <xf numFmtId="0" fontId="15" fillId="13" borderId="0" xfId="0" applyNumberFormat="1" applyFont="1" applyFill="1" applyAlignment="1">
      <alignment vertical="center"/>
    </xf>
    <xf numFmtId="0" fontId="0" fillId="0" borderId="0" xfId="0" applyNumberFormat="1"/>
    <xf numFmtId="165" fontId="46" fillId="0" borderId="0" xfId="0" applyFont="1" applyAlignment="1">
      <alignment horizontal="center" vertical="center"/>
    </xf>
    <xf numFmtId="0" fontId="20" fillId="0" borderId="5" xfId="0" applyNumberFormat="1" applyFont="1" applyBorder="1" applyAlignment="1">
      <alignment horizontal="left"/>
    </xf>
    <xf numFmtId="165" fontId="15" fillId="34" borderId="0" xfId="0" quotePrefix="1" applyFont="1" applyFill="1" applyAlignment="1">
      <alignment vertical="center"/>
    </xf>
    <xf numFmtId="1" fontId="16" fillId="34" borderId="5" xfId="0" applyNumberFormat="1" applyFont="1" applyFill="1" applyBorder="1" applyAlignment="1">
      <alignment horizontal="center" vertical="center"/>
    </xf>
    <xf numFmtId="165" fontId="15" fillId="13" borderId="0" xfId="0" quotePrefix="1" applyFont="1" applyFill="1" applyAlignment="1">
      <alignment vertical="center"/>
    </xf>
    <xf numFmtId="0" fontId="15" fillId="39" borderId="0" xfId="0" applyNumberFormat="1" applyFont="1" applyFill="1" applyAlignment="1">
      <alignment vertical="center"/>
    </xf>
    <xf numFmtId="165" fontId="16" fillId="0" borderId="5" xfId="0" applyFont="1" applyBorder="1" applyAlignment="1">
      <alignment horizontal="center" vertical="center"/>
    </xf>
    <xf numFmtId="0" fontId="15" fillId="39" borderId="0" xfId="0" applyNumberFormat="1" applyFont="1" applyFill="1" applyAlignment="1">
      <alignment horizontal="left" vertical="center"/>
    </xf>
    <xf numFmtId="0" fontId="15" fillId="11" borderId="0" xfId="0" applyNumberFormat="1" applyFont="1" applyFill="1" applyAlignment="1">
      <alignment horizontal="right" vertical="center"/>
    </xf>
    <xf numFmtId="49" fontId="6" fillId="0" borderId="0" xfId="0" applyNumberFormat="1" applyFont="1"/>
    <xf numFmtId="0" fontId="35" fillId="0" borderId="5" xfId="0" applyNumberFormat="1" applyFont="1" applyBorder="1" applyAlignment="1">
      <alignment horizontal="center" vertical="center"/>
    </xf>
    <xf numFmtId="0" fontId="35" fillId="39" borderId="0" xfId="0" applyNumberFormat="1" applyFont="1" applyFill="1" applyAlignment="1">
      <alignment horizontal="center" vertical="center"/>
    </xf>
    <xf numFmtId="0" fontId="35" fillId="13" borderId="0" xfId="0" applyNumberFormat="1" applyFont="1" applyFill="1" applyAlignment="1">
      <alignment horizontal="center" vertical="center"/>
    </xf>
    <xf numFmtId="0" fontId="47" fillId="34" borderId="0" xfId="0" applyNumberFormat="1" applyFont="1" applyFill="1" applyAlignment="1">
      <alignment horizontal="center"/>
    </xf>
    <xf numFmtId="0" fontId="47" fillId="13" borderId="0" xfId="0" applyNumberFormat="1" applyFont="1" applyFill="1" applyAlignment="1">
      <alignment horizontal="center"/>
    </xf>
    <xf numFmtId="165" fontId="35" fillId="0" borderId="0" xfId="0" applyFont="1" applyAlignment="1">
      <alignment horizontal="center" vertical="center"/>
    </xf>
    <xf numFmtId="0" fontId="15" fillId="0" borderId="5" xfId="0" applyNumberFormat="1" applyFont="1" applyBorder="1"/>
    <xf numFmtId="0" fontId="0" fillId="0" borderId="0" xfId="0" applyNumberFormat="1" applyAlignment="1">
      <alignment horizontal="left" vertical="top"/>
    </xf>
    <xf numFmtId="165" fontId="16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center" vertical="center"/>
    </xf>
    <xf numFmtId="14" fontId="15" fillId="39" borderId="0" xfId="0" applyNumberFormat="1" applyFont="1" applyFill="1" applyAlignment="1">
      <alignment horizontal="center" vertical="center"/>
    </xf>
    <xf numFmtId="0" fontId="35" fillId="39" borderId="5" xfId="0" applyNumberFormat="1" applyFont="1" applyFill="1" applyBorder="1" applyAlignment="1">
      <alignment horizontal="center" vertical="center"/>
    </xf>
    <xf numFmtId="165" fontId="15" fillId="42" borderId="0" xfId="0" applyFont="1" applyFill="1" applyAlignment="1">
      <alignment horizontal="center" vertical="center"/>
    </xf>
    <xf numFmtId="14" fontId="15" fillId="42" borderId="0" xfId="0" applyNumberFormat="1" applyFont="1" applyFill="1" applyAlignment="1">
      <alignment horizontal="center" vertical="center"/>
    </xf>
    <xf numFmtId="0" fontId="15" fillId="42" borderId="0" xfId="0" applyNumberFormat="1" applyFont="1" applyFill="1" applyAlignment="1">
      <alignment horizontal="center" vertical="center"/>
    </xf>
    <xf numFmtId="165" fontId="15" fillId="42" borderId="0" xfId="0" applyFont="1" applyFill="1" applyAlignment="1">
      <alignment vertical="center"/>
    </xf>
    <xf numFmtId="0" fontId="15" fillId="42" borderId="0" xfId="0" applyNumberFormat="1" applyFont="1" applyFill="1" applyAlignment="1">
      <alignment horizontal="left" vertical="center"/>
    </xf>
    <xf numFmtId="165" fontId="21" fillId="42" borderId="0" xfId="0" applyFont="1" applyFill="1" applyAlignment="1">
      <alignment horizontal="center" vertical="center"/>
    </xf>
    <xf numFmtId="166" fontId="15" fillId="42" borderId="5" xfId="0" applyNumberFormat="1" applyFont="1" applyFill="1" applyBorder="1" applyAlignment="1">
      <alignment horizontal="right" vertical="center"/>
    </xf>
    <xf numFmtId="166" fontId="15" fillId="42" borderId="5" xfId="0" applyNumberFormat="1" applyFont="1" applyFill="1" applyBorder="1" applyAlignment="1">
      <alignment horizontal="center" vertical="center"/>
    </xf>
    <xf numFmtId="1" fontId="15" fillId="42" borderId="5" xfId="0" applyNumberFormat="1" applyFont="1" applyFill="1" applyBorder="1" applyAlignment="1">
      <alignment horizontal="center" vertical="center"/>
    </xf>
    <xf numFmtId="165" fontId="15" fillId="42" borderId="5" xfId="0" applyFont="1" applyFill="1" applyBorder="1" applyAlignment="1">
      <alignment horizontal="center" vertical="center"/>
    </xf>
    <xf numFmtId="2" fontId="15" fillId="42" borderId="5" xfId="0" applyNumberFormat="1" applyFont="1" applyFill="1" applyBorder="1" applyAlignment="1">
      <alignment horizontal="center" vertical="center"/>
    </xf>
    <xf numFmtId="165" fontId="15" fillId="42" borderId="0" xfId="0" applyFont="1" applyFill="1" applyAlignment="1">
      <alignment horizontal="left" vertical="center"/>
    </xf>
    <xf numFmtId="167" fontId="15" fillId="42" borderId="0" xfId="0" applyNumberFormat="1" applyFont="1" applyFill="1" applyAlignment="1">
      <alignment horizontal="center" vertical="center"/>
    </xf>
    <xf numFmtId="167" fontId="15" fillId="42" borderId="0" xfId="0" quotePrefix="1" applyNumberFormat="1" applyFont="1" applyFill="1" applyAlignment="1">
      <alignment horizontal="center" vertical="center"/>
    </xf>
    <xf numFmtId="167" fontId="15" fillId="42" borderId="5" xfId="0" applyNumberFormat="1" applyFont="1" applyFill="1" applyBorder="1" applyAlignment="1">
      <alignment horizontal="center" vertical="center"/>
    </xf>
    <xf numFmtId="2" fontId="15" fillId="42" borderId="5" xfId="0" applyNumberFormat="1" applyFont="1" applyFill="1" applyBorder="1" applyAlignment="1">
      <alignment vertical="center"/>
    </xf>
    <xf numFmtId="2" fontId="15" fillId="42" borderId="0" xfId="0" applyNumberFormat="1" applyFont="1" applyFill="1" applyAlignment="1">
      <alignment vertical="center"/>
    </xf>
    <xf numFmtId="49" fontId="0" fillId="42" borderId="0" xfId="0" applyNumberFormat="1" applyFill="1"/>
    <xf numFmtId="0" fontId="0" fillId="42" borderId="0" xfId="0" applyNumberFormat="1" applyFill="1" applyAlignment="1">
      <alignment horizontal="center"/>
    </xf>
    <xf numFmtId="170" fontId="0" fillId="42" borderId="0" xfId="0" applyNumberFormat="1" applyFill="1"/>
    <xf numFmtId="169" fontId="0" fillId="42" borderId="0" xfId="0" applyNumberFormat="1" applyFill="1"/>
    <xf numFmtId="165" fontId="0" fillId="42" borderId="0" xfId="0" applyFill="1"/>
    <xf numFmtId="14" fontId="15" fillId="34" borderId="0" xfId="0" applyNumberFormat="1" applyFont="1" applyFill="1" applyAlignment="1">
      <alignment horizontal="center" vertical="center"/>
    </xf>
    <xf numFmtId="49" fontId="5" fillId="25" borderId="0" xfId="0" applyNumberFormat="1" applyFont="1" applyFill="1"/>
    <xf numFmtId="14" fontId="15" fillId="13" borderId="0" xfId="0" applyNumberFormat="1" applyFont="1" applyFill="1" applyAlignment="1">
      <alignment horizontal="center" vertical="center"/>
    </xf>
    <xf numFmtId="49" fontId="4" fillId="25" borderId="0" xfId="0" applyNumberFormat="1" applyFont="1" applyFill="1"/>
    <xf numFmtId="0" fontId="16" fillId="42" borderId="5" xfId="0" applyNumberFormat="1" applyFont="1" applyFill="1" applyBorder="1" applyAlignment="1">
      <alignment horizontal="center" vertical="center"/>
    </xf>
    <xf numFmtId="0" fontId="0" fillId="13" borderId="0" xfId="0" applyNumberFormat="1" applyFill="1"/>
    <xf numFmtId="165" fontId="35" fillId="39" borderId="0" xfId="0" applyFont="1" applyFill="1" applyAlignment="1">
      <alignment vertical="center"/>
    </xf>
    <xf numFmtId="165" fontId="35" fillId="13" borderId="0" xfId="0" applyFont="1" applyFill="1" applyAlignment="1">
      <alignment vertical="center"/>
    </xf>
    <xf numFmtId="0" fontId="48" fillId="42" borderId="0" xfId="0" applyNumberFormat="1" applyFont="1" applyFill="1" applyAlignment="1">
      <alignment horizontal="center"/>
    </xf>
    <xf numFmtId="167" fontId="16" fillId="34" borderId="0" xfId="0" applyNumberFormat="1" applyFont="1" applyFill="1" applyAlignment="1">
      <alignment horizontal="center" vertical="center"/>
    </xf>
    <xf numFmtId="165" fontId="16" fillId="42" borderId="5" xfId="0" applyFont="1" applyFill="1" applyBorder="1" applyAlignment="1">
      <alignment horizontal="center" vertical="center"/>
    </xf>
    <xf numFmtId="165" fontId="16" fillId="39" borderId="5" xfId="0" applyFont="1" applyFill="1" applyBorder="1" applyAlignment="1">
      <alignment horizontal="center" vertical="center"/>
    </xf>
    <xf numFmtId="165" fontId="35" fillId="13" borderId="5" xfId="0" applyFont="1" applyFill="1" applyBorder="1" applyAlignment="1">
      <alignment horizontal="center" vertical="center"/>
    </xf>
    <xf numFmtId="165" fontId="35" fillId="42" borderId="0" xfId="0" applyFont="1" applyFill="1" applyAlignment="1">
      <alignment horizontal="center" vertical="center"/>
    </xf>
    <xf numFmtId="165" fontId="49" fillId="0" borderId="0" xfId="0" applyFont="1" applyAlignment="1">
      <alignment horizontal="center" vertical="center"/>
    </xf>
    <xf numFmtId="49" fontId="3" fillId="42" borderId="0" xfId="0" applyNumberFormat="1" applyFont="1" applyFill="1"/>
    <xf numFmtId="1" fontId="16" fillId="42" borderId="5" xfId="0" applyNumberFormat="1" applyFont="1" applyFill="1" applyBorder="1" applyAlignment="1">
      <alignment horizontal="center" vertical="center"/>
    </xf>
    <xf numFmtId="167" fontId="15" fillId="11" borderId="5" xfId="0" applyNumberFormat="1" applyFont="1" applyFill="1" applyBorder="1" applyAlignment="1">
      <alignment horizontal="center" vertical="center"/>
    </xf>
    <xf numFmtId="2" fontId="15" fillId="11" borderId="5" xfId="0" applyNumberFormat="1" applyFont="1" applyFill="1" applyBorder="1" applyAlignment="1">
      <alignment vertical="center"/>
    </xf>
    <xf numFmtId="0" fontId="3" fillId="11" borderId="0" xfId="0" applyNumberFormat="1" applyFont="1" applyFill="1" applyAlignment="1">
      <alignment horizontal="center"/>
    </xf>
    <xf numFmtId="49" fontId="3" fillId="39" borderId="0" xfId="0" applyNumberFormat="1" applyFont="1" applyFill="1"/>
    <xf numFmtId="166" fontId="16" fillId="42" borderId="5" xfId="0" applyNumberFormat="1" applyFont="1" applyFill="1" applyBorder="1" applyAlignment="1">
      <alignment horizontal="center" vertical="center"/>
    </xf>
    <xf numFmtId="165" fontId="3" fillId="34" borderId="0" xfId="0" applyFont="1" applyFill="1"/>
    <xf numFmtId="0" fontId="48" fillId="34" borderId="0" xfId="0" applyNumberFormat="1" applyFont="1" applyFill="1" applyAlignment="1">
      <alignment horizontal="center"/>
    </xf>
    <xf numFmtId="165" fontId="2" fillId="0" borderId="0" xfId="0" applyFont="1"/>
    <xf numFmtId="165" fontId="2" fillId="0" borderId="0" xfId="0" applyFont="1" applyAlignment="1">
      <alignment vertical="center"/>
    </xf>
    <xf numFmtId="165" fontId="50" fillId="0" borderId="0" xfId="0" applyFont="1" applyAlignment="1">
      <alignment vertical="center"/>
    </xf>
    <xf numFmtId="165" fontId="52" fillId="0" borderId="0" xfId="0" applyFont="1" applyAlignment="1">
      <alignment vertical="center"/>
    </xf>
    <xf numFmtId="165" fontId="53" fillId="0" borderId="0" xfId="0" applyFont="1"/>
    <xf numFmtId="165" fontId="53" fillId="0" borderId="0" xfId="0" applyFont="1" applyAlignment="1">
      <alignment vertical="center"/>
    </xf>
    <xf numFmtId="165" fontId="54" fillId="0" borderId="0" xfId="0" applyFont="1" applyAlignment="1">
      <alignment vertical="center"/>
    </xf>
    <xf numFmtId="165" fontId="51" fillId="0" borderId="0" xfId="0" applyFont="1" applyAlignment="1">
      <alignment vertical="center"/>
    </xf>
    <xf numFmtId="165" fontId="2" fillId="0" borderId="5" xfId="0" applyFont="1" applyBorder="1" applyAlignment="1">
      <alignment horizontal="left"/>
    </xf>
    <xf numFmtId="171" fontId="0" fillId="0" borderId="0" xfId="0" applyNumberFormat="1"/>
    <xf numFmtId="166" fontId="16" fillId="42" borderId="5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left"/>
    </xf>
    <xf numFmtId="165" fontId="1" fillId="0" borderId="0" xfId="0" applyFont="1" applyAlignment="1">
      <alignment horizontal="left"/>
    </xf>
    <xf numFmtId="165" fontId="15" fillId="0" borderId="5" xfId="0" applyFont="1" applyBorder="1" applyAlignment="1">
      <alignment horizontal="left" vertical="center"/>
    </xf>
    <xf numFmtId="165" fontId="47" fillId="0" borderId="5" xfId="0" applyFont="1" applyBorder="1" applyAlignment="1">
      <alignment horizontal="left"/>
    </xf>
    <xf numFmtId="165" fontId="48" fillId="12" borderId="0" xfId="0" applyFont="1" applyFill="1"/>
    <xf numFmtId="2" fontId="0" fillId="0" borderId="0" xfId="0" applyNumberFormat="1" applyAlignment="1">
      <alignment horizontal="left" vertical="top"/>
    </xf>
    <xf numFmtId="165" fontId="1" fillId="0" borderId="0" xfId="0" applyFont="1"/>
    <xf numFmtId="165" fontId="23" fillId="0" borderId="0" xfId="0" applyFont="1" applyAlignment="1">
      <alignment horizontal="center" vertical="center"/>
    </xf>
    <xf numFmtId="165" fontId="0" fillId="0" borderId="0" xfId="0"/>
    <xf numFmtId="165" fontId="18" fillId="0" borderId="0" xfId="0" applyFont="1" applyAlignment="1">
      <alignment horizontal="center" vertical="center"/>
    </xf>
    <xf numFmtId="165" fontId="20" fillId="0" borderId="0" xfId="0" applyFont="1" applyAlignment="1">
      <alignment horizontal="center" vertical="center"/>
    </xf>
    <xf numFmtId="165" fontId="15" fillId="0" borderId="22" xfId="0" applyFont="1" applyBorder="1" applyAlignment="1">
      <alignment horizontal="center" vertical="center"/>
    </xf>
    <xf numFmtId="0" fontId="29" fillId="0" borderId="24" xfId="0" applyNumberFormat="1" applyFont="1" applyBorder="1"/>
    <xf numFmtId="0" fontId="29" fillId="0" borderId="23" xfId="0" applyNumberFormat="1" applyFont="1" applyBorder="1"/>
    <xf numFmtId="166" fontId="20" fillId="0" borderId="22" xfId="0" applyNumberFormat="1" applyFont="1" applyBorder="1" applyAlignment="1">
      <alignment horizontal="center" vertical="center"/>
    </xf>
    <xf numFmtId="165" fontId="20" fillId="0" borderId="33" xfId="0" applyFont="1" applyBorder="1" applyAlignment="1">
      <alignment horizontal="center"/>
    </xf>
    <xf numFmtId="165" fontId="0" fillId="0" borderId="5" xfId="0" applyBorder="1"/>
    <xf numFmtId="165" fontId="15" fillId="0" borderId="17" xfId="0" applyFont="1" applyBorder="1" applyAlignment="1">
      <alignment horizontal="center" vertical="center"/>
    </xf>
    <xf numFmtId="0" fontId="29" fillId="0" borderId="15" xfId="0" applyNumberFormat="1" applyFont="1" applyBorder="1"/>
    <xf numFmtId="165" fontId="15" fillId="0" borderId="17" xfId="0" applyFont="1" applyBorder="1" applyAlignment="1">
      <alignment horizontal="center" vertical="center" wrapText="1"/>
    </xf>
    <xf numFmtId="0" fontId="29" fillId="0" borderId="19" xfId="0" applyNumberFormat="1" applyFont="1" applyBorder="1"/>
    <xf numFmtId="0" fontId="29" fillId="0" borderId="13" xfId="0" applyNumberFormat="1" applyFont="1" applyBorder="1"/>
    <xf numFmtId="165" fontId="15" fillId="0" borderId="19" xfId="0" applyFont="1" applyBorder="1" applyAlignment="1">
      <alignment horizontal="center" vertical="center"/>
    </xf>
    <xf numFmtId="166" fontId="15" fillId="0" borderId="16" xfId="0" applyNumberFormat="1" applyFont="1" applyBorder="1" applyAlignment="1">
      <alignment horizontal="center" vertical="center"/>
    </xf>
    <xf numFmtId="0" fontId="29" fillId="0" borderId="20" xfId="0" applyNumberFormat="1" applyFont="1" applyBorder="1"/>
    <xf numFmtId="0" fontId="29" fillId="0" borderId="18" xfId="0" applyNumberFormat="1" applyFont="1" applyBorder="1"/>
    <xf numFmtId="165" fontId="15" fillId="0" borderId="16" xfId="0" applyFont="1" applyBorder="1" applyAlignment="1">
      <alignment horizontal="center" vertical="center"/>
    </xf>
    <xf numFmtId="0" fontId="29" fillId="0" borderId="21" xfId="0" applyNumberFormat="1" applyFont="1" applyBorder="1"/>
    <xf numFmtId="0" fontId="29" fillId="0" borderId="11" xfId="0" applyNumberFormat="1" applyFont="1" applyBorder="1"/>
    <xf numFmtId="1" fontId="15" fillId="0" borderId="16" xfId="0" applyNumberFormat="1" applyFont="1" applyBorder="1" applyAlignment="1">
      <alignment horizontal="center" vertical="center"/>
    </xf>
    <xf numFmtId="2" fontId="15" fillId="0" borderId="17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ill>
        <patternFill patternType="none"/>
      </fill>
    </dxf>
  </dxfs>
  <tableStyles count="0" defaultTableStyle="TableStyleMedium2" defaultPivotStyle="PivotStyleLight16"/>
  <colors>
    <mruColors>
      <color rgb="FF3399FF"/>
      <color rgb="FF6699FF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59" Type="http://schemas.openxmlformats.org/officeDocument/2006/relationships/theme" Target="theme/theme1.xml"/><Relationship Id="rId2" Type="http://schemas.openxmlformats.org/officeDocument/2006/relationships/worksheet" Target="worksheets/sheet2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8" Type="http://customschemas.google.com/relationships/workbookmetadata" Target="metadata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15240</xdr:colOff>
      <xdr:row>51</xdr:row>
      <xdr:rowOff>0</xdr:rowOff>
    </xdr:from>
    <xdr:ext cx="1447800" cy="1514892"/>
    <xdr:pic>
      <xdr:nvPicPr>
        <xdr:cNvPr id="2" name="image2.png">
          <a:extLst>
            <a:ext uri="{FF2B5EF4-FFF2-40B4-BE49-F238E27FC236}">
              <a16:creationId xmlns:a16="http://schemas.microsoft.com/office/drawing/2014/main" id="{7D43EEFB-85CB-40D2-944D-1EB3AAEDD88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35840" y="8252460"/>
          <a:ext cx="1447800" cy="1514892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22860</xdr:colOff>
      <xdr:row>51</xdr:row>
      <xdr:rowOff>15240</xdr:rowOff>
    </xdr:from>
    <xdr:ext cx="1447800" cy="1514892"/>
    <xdr:pic>
      <xdr:nvPicPr>
        <xdr:cNvPr id="3" name="image2.png">
          <a:extLst>
            <a:ext uri="{FF2B5EF4-FFF2-40B4-BE49-F238E27FC236}">
              <a16:creationId xmlns:a16="http://schemas.microsoft.com/office/drawing/2014/main" id="{D5C19BDE-25FE-447D-87D8-B57CEB4B4DC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827240" y="8267700"/>
          <a:ext cx="1447800" cy="1514892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15240</xdr:colOff>
      <xdr:row>51</xdr:row>
      <xdr:rowOff>0</xdr:rowOff>
    </xdr:from>
    <xdr:ext cx="1447800" cy="1514892"/>
    <xdr:pic>
      <xdr:nvPicPr>
        <xdr:cNvPr id="2" name="image2.png">
          <a:extLst>
            <a:ext uri="{FF2B5EF4-FFF2-40B4-BE49-F238E27FC236}">
              <a16:creationId xmlns:a16="http://schemas.microsoft.com/office/drawing/2014/main" id="{40C8DFEF-E0D1-487E-9107-36731163FD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74880" y="8252460"/>
          <a:ext cx="1447800" cy="1514892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22860</xdr:colOff>
      <xdr:row>51</xdr:row>
      <xdr:rowOff>15240</xdr:rowOff>
    </xdr:from>
    <xdr:ext cx="1447800" cy="1514892"/>
    <xdr:pic>
      <xdr:nvPicPr>
        <xdr:cNvPr id="3" name="image2.png">
          <a:extLst>
            <a:ext uri="{FF2B5EF4-FFF2-40B4-BE49-F238E27FC236}">
              <a16:creationId xmlns:a16="http://schemas.microsoft.com/office/drawing/2014/main" id="{A114EF0F-31E3-4C48-8A49-9244736FB72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766280" y="8267700"/>
          <a:ext cx="1447800" cy="1514892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15240</xdr:colOff>
      <xdr:row>51</xdr:row>
      <xdr:rowOff>0</xdr:rowOff>
    </xdr:from>
    <xdr:ext cx="1447800" cy="1514892"/>
    <xdr:pic>
      <xdr:nvPicPr>
        <xdr:cNvPr id="2" name="image2.png">
          <a:extLst>
            <a:ext uri="{FF2B5EF4-FFF2-40B4-BE49-F238E27FC236}">
              <a16:creationId xmlns:a16="http://schemas.microsoft.com/office/drawing/2014/main" id="{17E1A738-104E-490D-956C-A28E557925C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435840" y="8252460"/>
          <a:ext cx="1447800" cy="1514892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22860</xdr:colOff>
      <xdr:row>51</xdr:row>
      <xdr:rowOff>15240</xdr:rowOff>
    </xdr:from>
    <xdr:ext cx="1447800" cy="1514892"/>
    <xdr:pic>
      <xdr:nvPicPr>
        <xdr:cNvPr id="3" name="image2.png">
          <a:extLst>
            <a:ext uri="{FF2B5EF4-FFF2-40B4-BE49-F238E27FC236}">
              <a16:creationId xmlns:a16="http://schemas.microsoft.com/office/drawing/2014/main" id="{C7FE5596-C716-4C22-B445-9C99F6521A4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827240" y="8267700"/>
          <a:ext cx="1447800" cy="1514892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15240</xdr:colOff>
      <xdr:row>47</xdr:row>
      <xdr:rowOff>7620</xdr:rowOff>
    </xdr:from>
    <xdr:ext cx="1447800" cy="1514892"/>
    <xdr:pic>
      <xdr:nvPicPr>
        <xdr:cNvPr id="2" name="image2.png">
          <a:extLst>
            <a:ext uri="{FF2B5EF4-FFF2-40B4-BE49-F238E27FC236}">
              <a16:creationId xmlns:a16="http://schemas.microsoft.com/office/drawing/2014/main" id="{09B3301A-5F6A-4645-8130-5DFEDFC1F0A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52020" y="7620000"/>
          <a:ext cx="1447800" cy="1514892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22860</xdr:colOff>
      <xdr:row>47</xdr:row>
      <xdr:rowOff>7620</xdr:rowOff>
    </xdr:from>
    <xdr:ext cx="1447800" cy="1514892"/>
    <xdr:pic>
      <xdr:nvPicPr>
        <xdr:cNvPr id="3" name="image2.png">
          <a:extLst>
            <a:ext uri="{FF2B5EF4-FFF2-40B4-BE49-F238E27FC236}">
              <a16:creationId xmlns:a16="http://schemas.microsoft.com/office/drawing/2014/main" id="{4BF6AD68-C8B9-4133-A380-9A34C08A4D1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598640" y="7620000"/>
          <a:ext cx="1447800" cy="1514892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1FN-1y-LC-S1X-5dEY5ey5Chib7o1xFPh\&#3591;&#3634;&#3609;&#3607;&#3640;&#3648;&#3619;&#3637;&#3618;&#3609;%20&#3621;&#3635;&#3652;&#3618;%20&#3626;&#3657;&#3617;&#3650;&#3629;%20&#3617;&#3632;&#3614;&#3619;&#3657;&#3634;&#3623;%20&#3648;&#3619;&#3639;&#3629;\&#3605;&#3634;&#3619;&#3634;&#3591;&#3591;&#3634;&#3609;&#3612;&#3621;&#3652;&#3617;&#3657;%20-%20&#3648;&#3619;&#3639;&#3629;.xlsx" TargetMode="External"/><Relationship Id="rId1" Type="http://schemas.openxmlformats.org/officeDocument/2006/relationships/externalLinkPath" Target="file:///G:\.shortcut-targets-by-id\1FN-1y-LC-S1X-5dEY5ey5Chib7o1xFPh\&#3591;&#3634;&#3609;&#3607;&#3640;&#3648;&#3619;&#3637;&#3618;&#3609;%20&#3621;&#3635;&#3652;&#3618;%20&#3626;&#3657;&#3617;&#3650;&#3629;%20&#3617;&#3632;&#3614;&#3619;&#3657;&#3634;&#3623;%20&#3648;&#3619;&#3639;&#3629;\&#3605;&#3634;&#3619;&#3634;&#3591;&#3591;&#3634;&#3609;&#3612;&#3621;&#3652;&#3617;&#3657;%20-%20&#3648;&#3619;&#3639;&#362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TOTAL - LCB"/>
      <sheetName val="Book Text"/>
      <sheetName val="HUANG ZONG- GUOSHEN-DYY "/>
      <sheetName val="BOMING-HAINAN DYY-3"/>
      <sheetName val="BOMING-HAINAN DYY"/>
      <sheetName val="KU CHUAN SHENZHEN SAIL-DYY"/>
      <sheetName val="SHENZHEN-DYY Trading"/>
      <sheetName val="ZHENG YUAN (Chongqing) -TEIL "/>
      <sheetName val="TaiGuo-DYY Trading"/>
      <sheetName val="YMT-DYY Trading"/>
      <sheetName val="YMT-DYY Trading (CIF-THB)"/>
      <sheetName val="Guangdong-DYY Trading"/>
      <sheetName val="YU XING-DYY Trading"/>
      <sheetName val="BEIJING-DYY Trading"/>
      <sheetName val="BEIJING-DYY Trading-(2)"/>
      <sheetName val="SICHUAN-DYY Trading(Third)"/>
      <sheetName val="SICHUAN-DYY Trading"/>
      <sheetName val="BEIJING-THAI ELITE FOODS"/>
      <sheetName val="SHANGHAI - GOODFARMER FOODS "/>
      <sheetName val="New -SHENZHEN - WAYO-NANSHA"/>
      <sheetName val="SHENZHEN - WAYO-NANSHA"/>
      <sheetName val="FENGGE"/>
      <sheetName val="17 ELE"/>
      <sheetName val="RUNPAI"/>
      <sheetName val="SAM BA"/>
      <sheetName val="SAMBA"/>
      <sheetName val="Y C"/>
      <sheetName val="YC"/>
      <sheetName val="LIU TAI WANG"/>
      <sheetName val="FAJIE"/>
      <sheetName val="LIANGGE - SK NS HK"/>
      <sheetName val="GUORUI-LIUGE"/>
      <sheetName val="HENGMEI (2)"/>
      <sheetName val="SAMBA LONGAN"/>
      <sheetName val="XIANJI"/>
      <sheetName val="AIR"/>
      <sheetName val="GUORUI"/>
      <sheetName val="LIUGE 2"/>
      <sheetName val="TAIWAN"/>
      <sheetName val="MR.MA"/>
      <sheetName val="MS.FEN"/>
      <sheetName val="MS.BANJIE"/>
      <sheetName val="YANZI"/>
      <sheetName val="HENGMEI"/>
      <sheetName val="BEIJING-DYY-24001"/>
      <sheetName val="QINGXIA"/>
      <sheetName val="BEIJING"/>
    </sheetNames>
    <sheetDataSet>
      <sheetData sheetId="0">
        <row r="11">
          <cell r="A11" t="str">
            <v>GUORUI_XIANFENG</v>
          </cell>
          <cell r="B11" t="str">
            <v>RUANYUE</v>
          </cell>
          <cell r="C11" t="str">
            <v>FRESH DURIAN</v>
          </cell>
          <cell r="D11" t="str">
            <v>5.00</v>
          </cell>
          <cell r="E11">
            <v>4.5999999999999996</v>
          </cell>
          <cell r="F11">
            <v>19</v>
          </cell>
          <cell r="G11">
            <v>17</v>
          </cell>
          <cell r="H11">
            <v>960</v>
          </cell>
          <cell r="I11" t="str">
            <v>CARTONS</v>
          </cell>
          <cell r="J11">
            <v>13</v>
          </cell>
          <cell r="K11" t="str">
            <v>30%</v>
          </cell>
          <cell r="L11" t="str">
            <v>Lion King Supply Chain Management Co., LTD.</v>
          </cell>
        </row>
        <row r="12">
          <cell r="A12" t="str">
            <v>LIANGGE_DINGCHEN</v>
          </cell>
          <cell r="B12" t="str">
            <v>SHANGTAI</v>
          </cell>
          <cell r="C12" t="str">
            <v>FRESH DURIAN</v>
          </cell>
          <cell r="D12" t="str">
            <v>5.00</v>
          </cell>
          <cell r="E12">
            <v>4.5999999999999996</v>
          </cell>
          <cell r="F12">
            <v>20</v>
          </cell>
          <cell r="G12">
            <v>18</v>
          </cell>
          <cell r="H12">
            <v>960</v>
          </cell>
          <cell r="I12" t="str">
            <v>CARTONS</v>
          </cell>
          <cell r="J12">
            <v>13</v>
          </cell>
          <cell r="K12" t="str">
            <v>30%</v>
          </cell>
          <cell r="L12" t="str">
            <v>BEIJING JUNYAO INTERNATIONAL</v>
          </cell>
        </row>
        <row r="13">
          <cell r="A13" t="str">
            <v>LIANGGE_SHANGMEI</v>
          </cell>
          <cell r="B13" t="str">
            <v>SHANGMEI</v>
          </cell>
          <cell r="C13" t="str">
            <v>FRESH DURIAN</v>
          </cell>
          <cell r="D13" t="str">
            <v>5.00</v>
          </cell>
          <cell r="E13">
            <v>4.5999999999999996</v>
          </cell>
          <cell r="F13">
            <v>19</v>
          </cell>
          <cell r="G13">
            <v>17</v>
          </cell>
          <cell r="H13">
            <v>960</v>
          </cell>
          <cell r="I13" t="str">
            <v>CARTONS</v>
          </cell>
          <cell r="J13">
            <v>13</v>
          </cell>
          <cell r="K13" t="str">
            <v>30%</v>
          </cell>
          <cell r="L13" t="str">
            <v>BEIJING JUNYAO INTERNATIONAL</v>
          </cell>
        </row>
        <row r="14">
          <cell r="A14" t="str">
            <v>LIUGE_XIANFENG</v>
          </cell>
          <cell r="B14" t="str">
            <v>YINGSHIWANG</v>
          </cell>
          <cell r="C14" t="str">
            <v>FRESH DURIAN</v>
          </cell>
          <cell r="D14" t="str">
            <v>5.00</v>
          </cell>
          <cell r="E14">
            <v>4.5999999999999996</v>
          </cell>
          <cell r="F14">
            <v>20</v>
          </cell>
          <cell r="G14">
            <v>18</v>
          </cell>
          <cell r="H14">
            <v>960</v>
          </cell>
          <cell r="I14" t="str">
            <v>CARTONS</v>
          </cell>
          <cell r="J14">
            <v>13</v>
          </cell>
          <cell r="K14" t="str">
            <v>30%</v>
          </cell>
          <cell r="L14" t="str">
            <v>Lion King Supply Chain Management Co., LTD.</v>
          </cell>
        </row>
        <row r="15">
          <cell r="A15" t="str">
            <v>MR.MA</v>
          </cell>
          <cell r="B15" t="str">
            <v>JINSHUO</v>
          </cell>
          <cell r="C15" t="str">
            <v>FRESH DURIAN</v>
          </cell>
          <cell r="D15" t="str">
            <v>5.00</v>
          </cell>
          <cell r="E15">
            <v>4.5999999999999996</v>
          </cell>
          <cell r="F15">
            <v>20</v>
          </cell>
          <cell r="G15">
            <v>18</v>
          </cell>
          <cell r="H15">
            <v>960</v>
          </cell>
          <cell r="I15" t="str">
            <v>CARTONS</v>
          </cell>
          <cell r="J15">
            <v>13</v>
          </cell>
          <cell r="K15" t="str">
            <v>25%</v>
          </cell>
          <cell r="L15" t="str">
            <v>BEIJING JUNYAO INTERNATIONAL</v>
          </cell>
        </row>
        <row r="16">
          <cell r="A16" t="str">
            <v>MS.BANJIE</v>
          </cell>
          <cell r="B16" t="str">
            <v>DAMUZHI</v>
          </cell>
          <cell r="C16" t="str">
            <v>FRESH DURIAN</v>
          </cell>
          <cell r="D16" t="str">
            <v>5.00</v>
          </cell>
          <cell r="E16">
            <v>4.5999999999999996</v>
          </cell>
          <cell r="F16">
            <v>20</v>
          </cell>
          <cell r="G16">
            <v>18</v>
          </cell>
          <cell r="H16">
            <v>960</v>
          </cell>
          <cell r="I16" t="str">
            <v>CARTONS</v>
          </cell>
          <cell r="J16">
            <v>13</v>
          </cell>
          <cell r="K16" t="str">
            <v>30%</v>
          </cell>
          <cell r="L16" t="str">
            <v>ZHONGSHAN ZHENGTONG TRADING CO.,LTD</v>
          </cell>
        </row>
        <row r="17">
          <cell r="A17" t="str">
            <v>MS.FEN</v>
          </cell>
          <cell r="B17" t="str">
            <v>XING YE YUAN</v>
          </cell>
          <cell r="C17" t="str">
            <v>FRESH DURIAN</v>
          </cell>
          <cell r="D17" t="str">
            <v>CNY 36</v>
          </cell>
          <cell r="E17" t="str">
            <v>CNY 33</v>
          </cell>
          <cell r="F17">
            <v>20</v>
          </cell>
          <cell r="G17">
            <v>18</v>
          </cell>
          <cell r="H17">
            <v>960</v>
          </cell>
          <cell r="I17" t="str">
            <v>CARTONS</v>
          </cell>
          <cell r="J17">
            <v>13</v>
          </cell>
          <cell r="K17" t="str">
            <v>35%</v>
          </cell>
          <cell r="L17" t="str">
            <v>DALIAN GLORYTIMES IMPORT &amp; TRADE CO., LTD</v>
          </cell>
        </row>
        <row r="18">
          <cell r="A18" t="str">
            <v>GDL</v>
          </cell>
          <cell r="B18" t="str">
            <v>SHANGXIANG</v>
          </cell>
          <cell r="C18" t="str">
            <v>FRESH DURIAN</v>
          </cell>
          <cell r="D18" t="str">
            <v>5.00</v>
          </cell>
          <cell r="E18">
            <v>4.5999999999999996</v>
          </cell>
          <cell r="F18">
            <v>20</v>
          </cell>
          <cell r="G18">
            <v>18</v>
          </cell>
          <cell r="H18">
            <v>960</v>
          </cell>
          <cell r="I18" t="str">
            <v>CARTONS</v>
          </cell>
          <cell r="J18">
            <v>14</v>
          </cell>
          <cell r="K18" t="str">
            <v>35%</v>
          </cell>
          <cell r="L18" t="str">
            <v>BEIJING JUNYAO INTERNATIONAL</v>
          </cell>
        </row>
        <row r="19">
          <cell r="A19" t="str">
            <v>HENGMAI</v>
          </cell>
          <cell r="B19" t="str">
            <v>XIANGSHENGYUAN</v>
          </cell>
          <cell r="C19" t="str">
            <v>FRESH DURIAN</v>
          </cell>
          <cell r="D19" t="str">
            <v>5.00</v>
          </cell>
          <cell r="E19">
            <v>4.5999999999999996</v>
          </cell>
          <cell r="F19">
            <v>20</v>
          </cell>
          <cell r="G19">
            <v>18</v>
          </cell>
          <cell r="H19">
            <v>960</v>
          </cell>
          <cell r="I19" t="str">
            <v>CARTONS</v>
          </cell>
          <cell r="J19">
            <v>12</v>
          </cell>
          <cell r="K19" t="str">
            <v>30%</v>
          </cell>
          <cell r="L19" t="str">
            <v>GUANGXI HENGMAI TRADING CO., LTD.</v>
          </cell>
        </row>
        <row r="20">
          <cell r="A20" t="str">
            <v>LIANGGE_DINGCHEN'</v>
          </cell>
          <cell r="B20"/>
          <cell r="C20" t="str">
            <v>FRESH DURIAN</v>
          </cell>
          <cell r="D20" t="str">
            <v>4.8</v>
          </cell>
          <cell r="E20">
            <v>4.4000000000000004</v>
          </cell>
          <cell r="F20">
            <v>19</v>
          </cell>
          <cell r="G20">
            <v>17</v>
          </cell>
          <cell r="H20">
            <v>960</v>
          </cell>
          <cell r="I20" t="str">
            <v>CARTONS</v>
          </cell>
          <cell r="J20">
            <v>13</v>
          </cell>
          <cell r="K20" t="str">
            <v>30%</v>
          </cell>
          <cell r="L20" t="str">
            <v>BEIJING JUNYAO INTERNATIONAL</v>
          </cell>
        </row>
        <row r="21">
          <cell r="A21" t="str">
            <v>LIANGGE_SHANGMEI'</v>
          </cell>
          <cell r="B21"/>
          <cell r="C21" t="str">
            <v>FRESH DURIAN</v>
          </cell>
          <cell r="D21" t="str">
            <v>4.8</v>
          </cell>
          <cell r="E21">
            <v>4.4000000000000004</v>
          </cell>
          <cell r="F21">
            <v>19</v>
          </cell>
          <cell r="G21">
            <v>17</v>
          </cell>
          <cell r="H21">
            <v>960</v>
          </cell>
          <cell r="I21" t="str">
            <v>CARTONS</v>
          </cell>
          <cell r="J21">
            <v>13</v>
          </cell>
          <cell r="K21" t="str">
            <v>30%</v>
          </cell>
          <cell r="L21" t="str">
            <v>BEIJING JUNYAO INTERNATIONAL</v>
          </cell>
        </row>
        <row r="22">
          <cell r="A22" t="str">
            <v>TAIWAN</v>
          </cell>
          <cell r="B22" t="str">
            <v>M2</v>
          </cell>
          <cell r="C22" t="str">
            <v>FRESH DURIAN</v>
          </cell>
          <cell r="D22" t="str">
            <v>2.7</v>
          </cell>
          <cell r="E22">
            <v>2.5</v>
          </cell>
          <cell r="F22">
            <v>13</v>
          </cell>
          <cell r="G22">
            <v>11.5</v>
          </cell>
          <cell r="H22">
            <v>1350</v>
          </cell>
          <cell r="I22" t="str">
            <v>CARTONS</v>
          </cell>
          <cell r="J22">
            <v>13</v>
          </cell>
          <cell r="K22" t="str">
            <v>30%</v>
          </cell>
          <cell r="L22" t="str">
            <v>LONG KAE AGRICULTURAL PRODUCT CO., LTD</v>
          </cell>
        </row>
        <row r="23">
          <cell r="A23" t="str">
            <v>LIUGE - ZHONGBO'</v>
          </cell>
          <cell r="B23" t="str">
            <v>YING SHI WANG</v>
          </cell>
          <cell r="C23" t="str">
            <v>FRESH DURIAN</v>
          </cell>
          <cell r="D23" t="str">
            <v>4.8</v>
          </cell>
          <cell r="E23">
            <v>4.4000000000000004</v>
          </cell>
          <cell r="F23">
            <v>20</v>
          </cell>
          <cell r="G23">
            <v>18</v>
          </cell>
          <cell r="H23">
            <v>960</v>
          </cell>
          <cell r="I23" t="str">
            <v>CARTONS</v>
          </cell>
          <cell r="J23">
            <v>13</v>
          </cell>
          <cell r="K23" t="str">
            <v>30%</v>
          </cell>
          <cell r="L23" t="str">
            <v>SHENZHEN ZHONGBOLITAI IMPORT AND EXPORT CO., LTD</v>
          </cell>
        </row>
        <row r="24">
          <cell r="A24" t="str">
            <v>YANZI</v>
          </cell>
          <cell r="B24" t="str">
            <v>TAIXIAN</v>
          </cell>
          <cell r="C24" t="str">
            <v>FRESH POMALO</v>
          </cell>
          <cell r="D24" t="str">
            <v>0.7</v>
          </cell>
          <cell r="E24">
            <v>0.6</v>
          </cell>
          <cell r="F24">
            <v>18</v>
          </cell>
          <cell r="G24">
            <v>16.5</v>
          </cell>
          <cell r="H24">
            <v>1200</v>
          </cell>
          <cell r="I24" t="str">
            <v>CARTONS</v>
          </cell>
          <cell r="J24">
            <v>8</v>
          </cell>
          <cell r="K24" t="str">
            <v>30%</v>
          </cell>
          <cell r="L24" t="str">
            <v>SHENZHEN SHENG TAI HUAN YU SUPPLY CHAIN CO., LTD.</v>
          </cell>
        </row>
        <row r="25">
          <cell r="A25" t="str">
            <v>ZG</v>
          </cell>
          <cell r="B25"/>
          <cell r="C25" t="str">
            <v>FRESH DURIAN</v>
          </cell>
          <cell r="D25" t="str">
            <v>175.9524</v>
          </cell>
          <cell r="E25"/>
          <cell r="F25">
            <v>20.5</v>
          </cell>
          <cell r="G25">
            <v>18.5</v>
          </cell>
          <cell r="H25">
            <v>1321</v>
          </cell>
          <cell r="I25" t="str">
            <v>CARTONS</v>
          </cell>
          <cell r="J25">
            <v>13</v>
          </cell>
          <cell r="K25" t="str">
            <v>30%</v>
          </cell>
          <cell r="L25" t="str">
            <v>SHANXI ZHONGGUO FRUIT IMPORT AND EXPORT CO., LTD.</v>
          </cell>
        </row>
        <row r="26">
          <cell r="A26" t="str">
            <v>ZHANGGE</v>
          </cell>
          <cell r="B26"/>
          <cell r="C26" t="str">
            <v>FRESH DURIAN</v>
          </cell>
          <cell r="D26" t="str">
            <v>4.8</v>
          </cell>
          <cell r="E26">
            <v>4.4000000000000004</v>
          </cell>
          <cell r="F26">
            <v>20</v>
          </cell>
          <cell r="G26">
            <v>18</v>
          </cell>
          <cell r="H26">
            <v>960</v>
          </cell>
          <cell r="I26" t="str">
            <v>CARTONS</v>
          </cell>
          <cell r="J26">
            <v>12</v>
          </cell>
          <cell r="K26" t="str">
            <v>30%</v>
          </cell>
          <cell r="L26" t="str">
            <v>BEIJING JUNYAO INTERNATIONAL</v>
          </cell>
        </row>
        <row r="27">
          <cell r="A27" t="str">
            <v>JUANJIE</v>
          </cell>
          <cell r="B27"/>
          <cell r="C27" t="str">
            <v>FRESH DURIAN</v>
          </cell>
          <cell r="D27" t="str">
            <v>4.8</v>
          </cell>
          <cell r="E27">
            <v>4.4000000000000004</v>
          </cell>
          <cell r="F27">
            <v>20</v>
          </cell>
          <cell r="G27">
            <v>18</v>
          </cell>
          <cell r="H27">
            <v>960</v>
          </cell>
          <cell r="I27" t="str">
            <v>CARTONS</v>
          </cell>
          <cell r="J27">
            <v>13</v>
          </cell>
          <cell r="K27" t="str">
            <v>30%</v>
          </cell>
          <cell r="L27" t="str">
            <v>BEIJING JUNYAO INTERNATIONAL</v>
          </cell>
        </row>
        <row r="28">
          <cell r="A28" t="str">
            <v>GUORUI_WONENG</v>
          </cell>
          <cell r="B28"/>
          <cell r="C28" t="str">
            <v>FRESH DURIAN</v>
          </cell>
          <cell r="D28" t="str">
            <v>5.00</v>
          </cell>
          <cell r="E28">
            <v>4.5999999999999996</v>
          </cell>
          <cell r="F28">
            <v>19</v>
          </cell>
          <cell r="G28">
            <v>17</v>
          </cell>
          <cell r="H28">
            <v>960</v>
          </cell>
          <cell r="I28" t="str">
            <v>CARTONS</v>
          </cell>
          <cell r="J28">
            <v>13</v>
          </cell>
          <cell r="K28" t="str">
            <v>30%</v>
          </cell>
          <cell r="L28" t="str">
            <v>Qingdao Hongruiyang Trading Co., Ltd</v>
          </cell>
        </row>
        <row r="29">
          <cell r="A29" t="str">
            <v>FAJIE</v>
          </cell>
          <cell r="B29"/>
          <cell r="C29" t="str">
            <v>FRESH DURIAN</v>
          </cell>
          <cell r="D29" t="str">
            <v>5.00</v>
          </cell>
          <cell r="E29">
            <v>4.5999999999999996</v>
          </cell>
          <cell r="F29">
            <v>19</v>
          </cell>
          <cell r="G29">
            <v>17</v>
          </cell>
          <cell r="H29">
            <v>960</v>
          </cell>
          <cell r="I29" t="str">
            <v>CARTONS</v>
          </cell>
          <cell r="J29">
            <v>13</v>
          </cell>
          <cell r="K29" t="str">
            <v>30%</v>
          </cell>
          <cell r="L29" t="str">
            <v>BEIJING JUNYAO INTERNATIONAL</v>
          </cell>
        </row>
        <row r="30">
          <cell r="A30" t="str">
            <v>YC</v>
          </cell>
          <cell r="B30"/>
          <cell r="C30" t="str">
            <v>FRESH DURIAN</v>
          </cell>
          <cell r="D30">
            <v>5.1100000000000003</v>
          </cell>
          <cell r="E30">
            <v>5.0599999999999996</v>
          </cell>
          <cell r="F30">
            <v>19</v>
          </cell>
          <cell r="G30">
            <v>17</v>
          </cell>
          <cell r="H30">
            <v>960</v>
          </cell>
          <cell r="I30" t="str">
            <v>CARTONS</v>
          </cell>
          <cell r="J30">
            <v>13</v>
          </cell>
          <cell r="K30" t="str">
            <v>30%</v>
          </cell>
          <cell r="L30" t="str">
            <v>Foshan City International Trade Co., Ltd</v>
          </cell>
        </row>
        <row r="31">
          <cell r="A31" t="str">
            <v>17 Elephants</v>
          </cell>
          <cell r="B31"/>
          <cell r="C31" t="str">
            <v>FRESH DURIAN</v>
          </cell>
          <cell r="D31" t="str">
            <v>5.00</v>
          </cell>
          <cell r="E31">
            <v>4.5999999999999996</v>
          </cell>
          <cell r="F31">
            <v>19</v>
          </cell>
          <cell r="G31">
            <v>17</v>
          </cell>
          <cell r="H31">
            <v>960</v>
          </cell>
          <cell r="I31" t="str">
            <v>CARTONS</v>
          </cell>
          <cell r="J31">
            <v>13</v>
          </cell>
          <cell r="K31" t="str">
            <v>30%</v>
          </cell>
          <cell r="L31" t="str">
            <v xml:space="preserve">NAN TIAN DIGITAL TECHNOLOGY (YUNNAN) CO., LTD. </v>
          </cell>
        </row>
        <row r="32">
          <cell r="A32" t="str">
            <v>SENBA</v>
          </cell>
          <cell r="B32"/>
          <cell r="C32" t="str">
            <v>FRESH DURIAN</v>
          </cell>
          <cell r="D32">
            <v>35.5</v>
          </cell>
          <cell r="E32">
            <v>33.5</v>
          </cell>
          <cell r="F32">
            <v>19</v>
          </cell>
          <cell r="G32">
            <v>17</v>
          </cell>
          <cell r="H32">
            <v>960</v>
          </cell>
          <cell r="I32" t="str">
            <v>CARTONS</v>
          </cell>
          <cell r="J32">
            <v>11</v>
          </cell>
          <cell r="K32" t="str">
            <v>25%</v>
          </cell>
          <cell r="L32" t="str">
            <v>SAMBA SUPPLY CHAIN (SHANGHAI) CO., LTD</v>
          </cell>
        </row>
        <row r="33">
          <cell r="A33" t="str">
            <v>ZD168</v>
          </cell>
          <cell r="B33"/>
          <cell r="C33" t="str">
            <v>FRESH DURIAN</v>
          </cell>
          <cell r="D33">
            <v>4.8</v>
          </cell>
          <cell r="E33">
            <v>4.4000000000000004</v>
          </cell>
          <cell r="F33">
            <v>20</v>
          </cell>
          <cell r="G33">
            <v>17</v>
          </cell>
          <cell r="H33">
            <v>960</v>
          </cell>
          <cell r="I33" t="str">
            <v>CARTONS</v>
          </cell>
          <cell r="J33">
            <v>13</v>
          </cell>
          <cell r="K33" t="str">
            <v>30%</v>
          </cell>
          <cell r="L33" t="str">
            <v>BEIJING JUNYAO INTERNATIONAL</v>
          </cell>
        </row>
        <row r="34">
          <cell r="A34" t="str">
            <v>LIU TAI WANG</v>
          </cell>
          <cell r="B34"/>
          <cell r="C34" t="str">
            <v>FRESH DURIAN</v>
          </cell>
          <cell r="D34">
            <v>5</v>
          </cell>
          <cell r="E34">
            <v>4.5999999999999996</v>
          </cell>
          <cell r="F34">
            <v>19</v>
          </cell>
          <cell r="G34">
            <v>18</v>
          </cell>
          <cell r="H34">
            <v>960</v>
          </cell>
          <cell r="I34" t="str">
            <v>CARTONS</v>
          </cell>
          <cell r="J34">
            <v>12.5</v>
          </cell>
          <cell r="K34" t="str">
            <v>30%</v>
          </cell>
          <cell r="L34" t="str">
            <v>ZHONGSHAN ZHENGTONG TRADING CO.,LTD</v>
          </cell>
        </row>
        <row r="35">
          <cell r="A35" t="str">
            <v>FENGGE</v>
          </cell>
          <cell r="B35"/>
          <cell r="C35" t="str">
            <v>FRESH DURIAN</v>
          </cell>
          <cell r="D35">
            <v>4.8</v>
          </cell>
          <cell r="E35">
            <v>4.4000000000000004</v>
          </cell>
          <cell r="F35">
            <v>19</v>
          </cell>
          <cell r="G35">
            <v>17</v>
          </cell>
          <cell r="H35">
            <v>960</v>
          </cell>
          <cell r="I35" t="str">
            <v>CARTONS</v>
          </cell>
          <cell r="J35">
            <v>13</v>
          </cell>
          <cell r="K35" t="str">
            <v>30%</v>
          </cell>
          <cell r="L35" t="str">
            <v>BEIJING JUNYAO INTERNATIONAL</v>
          </cell>
        </row>
        <row r="36">
          <cell r="A36" t="str">
            <v>Y C</v>
          </cell>
          <cell r="B36"/>
          <cell r="C36" t="str">
            <v>FRESH Mangosteen</v>
          </cell>
          <cell r="D36">
            <v>2.16</v>
          </cell>
          <cell r="E36">
            <v>1.9</v>
          </cell>
          <cell r="F36">
            <v>8</v>
          </cell>
          <cell r="G36">
            <v>6</v>
          </cell>
          <cell r="H36">
            <v>2400</v>
          </cell>
          <cell r="I36" t="str">
            <v>PLASTIC BASKETS</v>
          </cell>
          <cell r="J36">
            <v>13</v>
          </cell>
          <cell r="K36" t="str">
            <v>15%</v>
          </cell>
          <cell r="L36" t="str">
            <v>SICHUAN COMMERCIAL INVESTMENT INVESTMENT CO,LTD</v>
          </cell>
        </row>
        <row r="37">
          <cell r="A37" t="str">
            <v>SEN BA</v>
          </cell>
          <cell r="B37"/>
          <cell r="C37" t="str">
            <v>FRESH Mangosteen</v>
          </cell>
          <cell r="D37">
            <v>13</v>
          </cell>
          <cell r="E37">
            <v>11</v>
          </cell>
          <cell r="F37">
            <v>17</v>
          </cell>
          <cell r="G37">
            <v>14.5</v>
          </cell>
          <cell r="H37">
            <v>1350</v>
          </cell>
          <cell r="I37" t="str">
            <v>PLASTIC BASKETS</v>
          </cell>
          <cell r="J37">
            <v>9</v>
          </cell>
          <cell r="K37" t="str">
            <v>5%</v>
          </cell>
          <cell r="L37" t="str">
            <v>SAMBA SUPPLY CHAIN (SHANGHAI) CO., LTD</v>
          </cell>
        </row>
        <row r="38">
          <cell r="A38" t="str">
            <v>Runpai_ZhangZon</v>
          </cell>
          <cell r="B38"/>
          <cell r="C38" t="str">
            <v>FRESH Mangosteen</v>
          </cell>
          <cell r="D38">
            <v>12</v>
          </cell>
          <cell r="E38">
            <v>10.14</v>
          </cell>
          <cell r="F38">
            <v>17.5</v>
          </cell>
          <cell r="G38">
            <v>14.5</v>
          </cell>
          <cell r="H38">
            <v>1728</v>
          </cell>
          <cell r="I38" t="str">
            <v>PLASTIC BASKETS</v>
          </cell>
          <cell r="J38">
            <v>12</v>
          </cell>
          <cell r="K38" t="str">
            <v>5%</v>
          </cell>
          <cell r="L38" t="str">
            <v>SHENZHEN DERUIJIA TRADING CO,. LTD</v>
          </cell>
        </row>
        <row r="39">
          <cell r="A39" t="str">
            <v>RONG CHEN</v>
          </cell>
          <cell r="B39" t="str">
            <v>KANGMEI</v>
          </cell>
          <cell r="C39" t="str">
            <v>FRESH LONGAN</v>
          </cell>
          <cell r="D39">
            <v>1.2</v>
          </cell>
          <cell r="E39">
            <v>1.1200000000000001</v>
          </cell>
          <cell r="F39">
            <v>13</v>
          </cell>
          <cell r="G39">
            <v>11.5</v>
          </cell>
          <cell r="H39">
            <v>2200</v>
          </cell>
          <cell r="I39" t="str">
            <v>PLASTIC BASKETS</v>
          </cell>
          <cell r="J39">
            <v>2</v>
          </cell>
          <cell r="K39" t="str">
            <v>10%</v>
          </cell>
          <cell r="L39" t="str">
            <v>BEIJING JUNYAO INTERNATIONAL</v>
          </cell>
        </row>
        <row r="40">
          <cell r="A40" t="str">
            <v>XIN ZONG</v>
          </cell>
          <cell r="B40" t="str">
            <v>KANGMEI</v>
          </cell>
          <cell r="C40" t="str">
            <v>FRESH LONGAN</v>
          </cell>
          <cell r="D40">
            <v>1.2</v>
          </cell>
          <cell r="E40">
            <v>1.1200000000000001</v>
          </cell>
          <cell r="F40">
            <v>13</v>
          </cell>
          <cell r="G40">
            <v>11.5</v>
          </cell>
          <cell r="H40">
            <v>2200</v>
          </cell>
          <cell r="I40" t="str">
            <v>PLASTIC BASKETS</v>
          </cell>
          <cell r="J40">
            <v>2</v>
          </cell>
          <cell r="K40" t="str">
            <v>15CMH(2%)</v>
          </cell>
          <cell r="L40" t="str">
            <v>BEIJING JUNYAO INTERNATIONAL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31"/>
  <sheetViews>
    <sheetView zoomScaleNormal="100" workbookViewId="0">
      <pane ySplit="1" topLeftCell="A50" activePane="bottomLeft" state="frozen"/>
      <selection pane="bottomLeft" activeCell="C63" sqref="C63"/>
    </sheetView>
  </sheetViews>
  <sheetFormatPr defaultColWidth="14.42578125" defaultRowHeight="15" customHeight="1"/>
  <cols>
    <col min="1" max="1" width="19.28515625" customWidth="1"/>
    <col min="2" max="2" width="20.85546875" customWidth="1"/>
    <col min="3" max="3" width="43.5703125" customWidth="1"/>
    <col min="4" max="4" width="11.28515625" customWidth="1"/>
    <col min="5" max="5" width="13.140625" customWidth="1"/>
    <col min="6" max="7" width="12.28515625" customWidth="1"/>
    <col min="8" max="8" width="14.7109375" customWidth="1"/>
    <col min="9" max="9" width="19.5703125" customWidth="1"/>
    <col min="10" max="10" width="9.140625" customWidth="1"/>
    <col min="11" max="11" width="12.7109375" customWidth="1"/>
    <col min="12" max="12" width="68.7109375" customWidth="1"/>
    <col min="13" max="13" width="17.140625" customWidth="1"/>
    <col min="14" max="14" width="36.5703125" customWidth="1"/>
    <col min="15" max="15" width="27.85546875" customWidth="1"/>
    <col min="16" max="26" width="9.140625" customWidth="1"/>
  </cols>
  <sheetData>
    <row r="1" spans="1:2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3</v>
      </c>
      <c r="G1" s="1" t="s">
        <v>5</v>
      </c>
      <c r="H1" s="1" t="s">
        <v>6</v>
      </c>
      <c r="I1" s="2" t="s">
        <v>7</v>
      </c>
      <c r="J1" s="2" t="s">
        <v>8</v>
      </c>
      <c r="K1" s="2"/>
      <c r="L1" s="3" t="s">
        <v>9</v>
      </c>
      <c r="M1" s="4" t="s">
        <v>10</v>
      </c>
      <c r="N1" s="4" t="s">
        <v>11</v>
      </c>
      <c r="O1" s="4" t="s">
        <v>12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267.75">
      <c r="A2" s="6" t="s">
        <v>13</v>
      </c>
      <c r="B2" s="6" t="s">
        <v>14</v>
      </c>
      <c r="C2" s="7"/>
      <c r="D2" s="8" t="s">
        <v>15</v>
      </c>
      <c r="E2" s="7"/>
      <c r="F2" s="8" t="s">
        <v>16</v>
      </c>
      <c r="G2" s="7"/>
      <c r="H2" s="7"/>
      <c r="I2" s="7" t="s">
        <v>17</v>
      </c>
      <c r="J2" s="7" t="s">
        <v>18</v>
      </c>
      <c r="K2" s="9" t="s">
        <v>19</v>
      </c>
      <c r="L2" s="3" t="s">
        <v>20</v>
      </c>
      <c r="M2" s="4" t="s">
        <v>21</v>
      </c>
      <c r="N2" s="10" t="s">
        <v>22</v>
      </c>
      <c r="O2" s="4" t="s">
        <v>23</v>
      </c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ht="306">
      <c r="A3" s="6" t="s">
        <v>24</v>
      </c>
      <c r="B3" s="6" t="s">
        <v>25</v>
      </c>
      <c r="C3" s="11" t="s">
        <v>26</v>
      </c>
      <c r="D3" s="12" t="s">
        <v>27</v>
      </c>
      <c r="E3" s="11" t="s">
        <v>26</v>
      </c>
      <c r="F3" s="12" t="s">
        <v>27</v>
      </c>
      <c r="G3" s="12" t="s">
        <v>28</v>
      </c>
      <c r="H3" s="13"/>
      <c r="I3" s="8" t="s">
        <v>29</v>
      </c>
      <c r="J3" s="8" t="s">
        <v>30</v>
      </c>
      <c r="K3" s="14" t="s">
        <v>31</v>
      </c>
      <c r="L3" s="3" t="s">
        <v>32</v>
      </c>
      <c r="M3" s="4" t="s">
        <v>33</v>
      </c>
      <c r="N3" s="4" t="s">
        <v>34</v>
      </c>
      <c r="O3" s="4" t="s">
        <v>35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306">
      <c r="A4" s="6" t="s">
        <v>13</v>
      </c>
      <c r="B4" s="6" t="s">
        <v>25</v>
      </c>
      <c r="C4" s="11" t="s">
        <v>26</v>
      </c>
      <c r="D4" s="12" t="s">
        <v>27</v>
      </c>
      <c r="E4" s="11" t="s">
        <v>26</v>
      </c>
      <c r="F4" s="12" t="s">
        <v>27</v>
      </c>
      <c r="G4" s="12" t="s">
        <v>28</v>
      </c>
      <c r="H4" s="12"/>
      <c r="I4" s="8"/>
      <c r="J4" s="8"/>
      <c r="K4" s="8"/>
      <c r="L4" s="3" t="s">
        <v>36</v>
      </c>
      <c r="M4" s="4" t="s">
        <v>37</v>
      </c>
      <c r="N4" s="10" t="s">
        <v>38</v>
      </c>
      <c r="O4" s="4" t="s">
        <v>39</v>
      </c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409.5">
      <c r="A5" s="6" t="s">
        <v>40</v>
      </c>
      <c r="B5" s="6"/>
      <c r="C5" s="16" t="s">
        <v>41</v>
      </c>
      <c r="D5" s="8" t="s">
        <v>42</v>
      </c>
      <c r="E5" s="16" t="s">
        <v>43</v>
      </c>
      <c r="F5" s="8" t="s">
        <v>44</v>
      </c>
      <c r="G5" s="15"/>
      <c r="H5" s="17" t="s">
        <v>45</v>
      </c>
      <c r="I5" s="8"/>
      <c r="J5" s="8"/>
      <c r="K5" s="8"/>
      <c r="L5" s="3" t="s">
        <v>46</v>
      </c>
      <c r="M5" s="4" t="s">
        <v>47</v>
      </c>
      <c r="N5" s="10" t="s">
        <v>48</v>
      </c>
      <c r="O5" s="10" t="s">
        <v>49</v>
      </c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ht="267.75">
      <c r="A6" s="5"/>
      <c r="B6" s="6" t="s">
        <v>50</v>
      </c>
      <c r="C6" s="16" t="s">
        <v>51</v>
      </c>
      <c r="D6" s="18" t="s">
        <v>52</v>
      </c>
      <c r="E6" s="19" t="s">
        <v>51</v>
      </c>
      <c r="F6" s="18" t="s">
        <v>52</v>
      </c>
      <c r="G6" s="15"/>
      <c r="H6" s="8" t="s">
        <v>53</v>
      </c>
      <c r="I6" s="8"/>
      <c r="J6" s="8"/>
      <c r="K6" s="8"/>
      <c r="L6" s="3" t="s">
        <v>54</v>
      </c>
      <c r="M6" s="4" t="s">
        <v>55</v>
      </c>
      <c r="N6" s="10" t="s">
        <v>56</v>
      </c>
      <c r="O6" s="4" t="s">
        <v>57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ht="268.5">
      <c r="A7" s="5"/>
      <c r="B7" s="6" t="s">
        <v>58</v>
      </c>
      <c r="C7" s="16" t="s">
        <v>59</v>
      </c>
      <c r="D7" s="17" t="s">
        <v>60</v>
      </c>
      <c r="E7" s="16"/>
      <c r="F7" s="7"/>
      <c r="G7" s="15"/>
      <c r="H7" s="15"/>
      <c r="I7" s="7"/>
      <c r="J7" s="7"/>
      <c r="K7" s="7"/>
      <c r="L7" s="3" t="s">
        <v>61</v>
      </c>
      <c r="M7" s="4" t="s">
        <v>62</v>
      </c>
      <c r="N7" s="10" t="s">
        <v>63</v>
      </c>
      <c r="O7" s="4" t="s">
        <v>64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25.5">
      <c r="A8" s="5"/>
      <c r="B8" s="6"/>
      <c r="C8" s="16"/>
      <c r="D8" s="15"/>
      <c r="E8" s="7"/>
      <c r="F8" s="7"/>
      <c r="G8" s="15"/>
      <c r="H8" s="15"/>
      <c r="I8" s="7"/>
      <c r="J8" s="7"/>
      <c r="K8" s="7"/>
      <c r="L8" s="3" t="s">
        <v>65</v>
      </c>
      <c r="M8" s="4" t="s">
        <v>66</v>
      </c>
      <c r="N8" s="10" t="s">
        <v>67</v>
      </c>
      <c r="O8" s="4" t="s">
        <v>68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ht="25.5">
      <c r="A9" s="5"/>
      <c r="B9" s="6"/>
      <c r="C9" s="16"/>
      <c r="D9" s="15"/>
      <c r="E9" s="7"/>
      <c r="F9" s="7"/>
      <c r="G9" s="15"/>
      <c r="H9" s="15"/>
      <c r="I9" s="7"/>
      <c r="J9" s="7"/>
      <c r="K9" s="7"/>
      <c r="L9" s="20" t="s">
        <v>69</v>
      </c>
      <c r="M9" s="21" t="s">
        <v>70</v>
      </c>
      <c r="N9" s="22" t="s">
        <v>71</v>
      </c>
      <c r="O9" s="21" t="s">
        <v>72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23">
        <v>1</v>
      </c>
      <c r="B10" s="23">
        <v>2</v>
      </c>
      <c r="C10" s="23">
        <v>3</v>
      </c>
      <c r="D10" s="23">
        <v>4</v>
      </c>
      <c r="E10" s="23">
        <v>5</v>
      </c>
      <c r="F10" s="23">
        <v>6</v>
      </c>
      <c r="G10" s="23">
        <v>7</v>
      </c>
      <c r="H10" s="23">
        <v>8</v>
      </c>
      <c r="I10" s="23">
        <v>9</v>
      </c>
      <c r="J10" s="23">
        <v>10</v>
      </c>
      <c r="K10" s="23">
        <v>11</v>
      </c>
      <c r="L10" s="23">
        <v>12</v>
      </c>
      <c r="M10" s="24"/>
      <c r="N10" s="25"/>
      <c r="O10" s="24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>
      <c r="A11" s="6" t="s">
        <v>73</v>
      </c>
      <c r="B11" s="6" t="s">
        <v>74</v>
      </c>
      <c r="C11" s="6" t="s">
        <v>17</v>
      </c>
      <c r="D11" s="27" t="s">
        <v>75</v>
      </c>
      <c r="E11" s="28">
        <v>4.5999999999999996</v>
      </c>
      <c r="F11" s="28">
        <v>19</v>
      </c>
      <c r="G11" s="28">
        <v>17</v>
      </c>
      <c r="H11" s="29">
        <v>960</v>
      </c>
      <c r="I11" s="6" t="s">
        <v>76</v>
      </c>
      <c r="J11" s="30">
        <v>13</v>
      </c>
      <c r="K11" s="31" t="s">
        <v>77</v>
      </c>
      <c r="L11" s="32" t="s">
        <v>78</v>
      </c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>
      <c r="A12" s="6" t="s">
        <v>79</v>
      </c>
      <c r="B12" s="6" t="s">
        <v>80</v>
      </c>
      <c r="C12" s="6" t="s">
        <v>17</v>
      </c>
      <c r="D12" s="27" t="s">
        <v>75</v>
      </c>
      <c r="E12" s="28">
        <v>4.5999999999999996</v>
      </c>
      <c r="F12" s="28">
        <v>20</v>
      </c>
      <c r="G12" s="28">
        <v>18</v>
      </c>
      <c r="H12" s="29">
        <v>960</v>
      </c>
      <c r="I12" s="6" t="s">
        <v>76</v>
      </c>
      <c r="J12" s="30">
        <v>13</v>
      </c>
      <c r="K12" s="31" t="s">
        <v>77</v>
      </c>
      <c r="L12" s="32" t="s">
        <v>26</v>
      </c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>
      <c r="A13" s="6" t="s">
        <v>81</v>
      </c>
      <c r="B13" s="6" t="s">
        <v>82</v>
      </c>
      <c r="C13" s="6" t="s">
        <v>17</v>
      </c>
      <c r="D13" s="27" t="s">
        <v>75</v>
      </c>
      <c r="E13" s="28">
        <v>4.5999999999999996</v>
      </c>
      <c r="F13" s="28">
        <v>19</v>
      </c>
      <c r="G13" s="28">
        <v>17</v>
      </c>
      <c r="H13" s="29">
        <v>960</v>
      </c>
      <c r="I13" s="6" t="s">
        <v>76</v>
      </c>
      <c r="J13" s="30">
        <v>13</v>
      </c>
      <c r="K13" s="31" t="s">
        <v>77</v>
      </c>
      <c r="L13" s="32" t="s">
        <v>26</v>
      </c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>
      <c r="A14" s="6" t="s">
        <v>83</v>
      </c>
      <c r="B14" s="6" t="s">
        <v>84</v>
      </c>
      <c r="C14" s="6" t="s">
        <v>17</v>
      </c>
      <c r="D14" s="27" t="s">
        <v>75</v>
      </c>
      <c r="E14" s="28">
        <v>4.5999999999999996</v>
      </c>
      <c r="F14" s="28">
        <v>20</v>
      </c>
      <c r="G14" s="28">
        <v>18</v>
      </c>
      <c r="H14" s="29">
        <v>960</v>
      </c>
      <c r="I14" s="6" t="s">
        <v>76</v>
      </c>
      <c r="J14" s="30">
        <v>13</v>
      </c>
      <c r="K14" s="31" t="s">
        <v>77</v>
      </c>
      <c r="L14" s="32" t="s">
        <v>78</v>
      </c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>
      <c r="A15" s="6" t="s">
        <v>58</v>
      </c>
      <c r="B15" s="6" t="s">
        <v>85</v>
      </c>
      <c r="C15" s="6" t="s">
        <v>17</v>
      </c>
      <c r="D15" s="27" t="s">
        <v>75</v>
      </c>
      <c r="E15" s="28">
        <v>4.5999999999999996</v>
      </c>
      <c r="F15" s="28">
        <v>20</v>
      </c>
      <c r="G15" s="28">
        <v>18</v>
      </c>
      <c r="H15" s="29">
        <v>960</v>
      </c>
      <c r="I15" s="6" t="s">
        <v>76</v>
      </c>
      <c r="J15" s="30">
        <v>13</v>
      </c>
      <c r="K15" s="31" t="s">
        <v>86</v>
      </c>
      <c r="L15" s="32" t="s">
        <v>26</v>
      </c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>
      <c r="A16" s="6" t="s">
        <v>87</v>
      </c>
      <c r="B16" s="6" t="s">
        <v>88</v>
      </c>
      <c r="C16" s="6" t="s">
        <v>17</v>
      </c>
      <c r="D16" s="27" t="s">
        <v>75</v>
      </c>
      <c r="E16" s="28">
        <v>4.5999999999999996</v>
      </c>
      <c r="F16" s="28">
        <v>20</v>
      </c>
      <c r="G16" s="28">
        <v>18</v>
      </c>
      <c r="H16" s="29">
        <v>960</v>
      </c>
      <c r="I16" s="6" t="s">
        <v>76</v>
      </c>
      <c r="J16" s="30">
        <v>13</v>
      </c>
      <c r="K16" s="31" t="s">
        <v>77</v>
      </c>
      <c r="L16" s="32" t="s">
        <v>89</v>
      </c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>
      <c r="A17" s="6" t="s">
        <v>90</v>
      </c>
      <c r="B17" s="6" t="s">
        <v>91</v>
      </c>
      <c r="C17" s="6" t="s">
        <v>17</v>
      </c>
      <c r="D17" s="34" t="s">
        <v>92</v>
      </c>
      <c r="E17" s="34" t="s">
        <v>93</v>
      </c>
      <c r="F17" s="28">
        <v>20</v>
      </c>
      <c r="G17" s="28">
        <v>18</v>
      </c>
      <c r="H17" s="29">
        <v>960</v>
      </c>
      <c r="I17" s="6" t="s">
        <v>76</v>
      </c>
      <c r="J17" s="30">
        <v>13</v>
      </c>
      <c r="K17" s="31" t="s">
        <v>94</v>
      </c>
      <c r="L17" s="32" t="s">
        <v>95</v>
      </c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>
      <c r="A18" s="5" t="s">
        <v>96</v>
      </c>
      <c r="B18" s="5" t="s">
        <v>97</v>
      </c>
      <c r="C18" s="6" t="s">
        <v>17</v>
      </c>
      <c r="D18" s="27" t="s">
        <v>75</v>
      </c>
      <c r="E18" s="28">
        <v>4.5999999999999996</v>
      </c>
      <c r="F18" s="28">
        <v>20</v>
      </c>
      <c r="G18" s="28">
        <v>18</v>
      </c>
      <c r="H18" s="29">
        <v>960</v>
      </c>
      <c r="I18" s="6" t="s">
        <v>76</v>
      </c>
      <c r="J18" s="30">
        <v>14</v>
      </c>
      <c r="K18" s="31" t="s">
        <v>94</v>
      </c>
      <c r="L18" s="32" t="s">
        <v>26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>
      <c r="A19" s="5" t="s">
        <v>98</v>
      </c>
      <c r="B19" s="5" t="s">
        <v>99</v>
      </c>
      <c r="C19" s="6" t="s">
        <v>17</v>
      </c>
      <c r="D19" s="27" t="s">
        <v>75</v>
      </c>
      <c r="E19" s="28">
        <v>4.5999999999999996</v>
      </c>
      <c r="F19" s="28">
        <v>20</v>
      </c>
      <c r="G19" s="28">
        <v>18</v>
      </c>
      <c r="H19" s="29">
        <v>960</v>
      </c>
      <c r="I19" s="6" t="s">
        <v>76</v>
      </c>
      <c r="J19" s="30">
        <v>12</v>
      </c>
      <c r="K19" s="31" t="s">
        <v>77</v>
      </c>
      <c r="L19" s="7" t="s">
        <v>100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>
      <c r="A20" s="35" t="s">
        <v>101</v>
      </c>
      <c r="B20" s="6"/>
      <c r="C20" s="6" t="s">
        <v>17</v>
      </c>
      <c r="D20" s="27" t="s">
        <v>102</v>
      </c>
      <c r="E20" s="28">
        <v>4.4000000000000004</v>
      </c>
      <c r="F20" s="28">
        <v>19</v>
      </c>
      <c r="G20" s="28">
        <v>17</v>
      </c>
      <c r="H20" s="29">
        <v>960</v>
      </c>
      <c r="I20" s="6" t="s">
        <v>76</v>
      </c>
      <c r="J20" s="30">
        <v>13</v>
      </c>
      <c r="K20" s="31" t="s">
        <v>77</v>
      </c>
      <c r="L20" s="32" t="s">
        <v>26</v>
      </c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5.75" customHeight="1">
      <c r="A21" s="35" t="s">
        <v>103</v>
      </c>
      <c r="B21" s="6"/>
      <c r="C21" s="6" t="s">
        <v>17</v>
      </c>
      <c r="D21" s="27" t="s">
        <v>102</v>
      </c>
      <c r="E21" s="28">
        <v>4.4000000000000004</v>
      </c>
      <c r="F21" s="28">
        <v>19</v>
      </c>
      <c r="G21" s="28">
        <v>17</v>
      </c>
      <c r="H21" s="29">
        <v>960</v>
      </c>
      <c r="I21" s="6" t="s">
        <v>76</v>
      </c>
      <c r="J21" s="30">
        <v>13</v>
      </c>
      <c r="K21" s="31" t="s">
        <v>77</v>
      </c>
      <c r="L21" s="32" t="s">
        <v>26</v>
      </c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5.75" customHeight="1">
      <c r="A22" s="5" t="s">
        <v>104</v>
      </c>
      <c r="B22" s="5" t="s">
        <v>105</v>
      </c>
      <c r="C22" s="6" t="s">
        <v>17</v>
      </c>
      <c r="D22" s="27" t="s">
        <v>106</v>
      </c>
      <c r="E22" s="28">
        <v>2.5</v>
      </c>
      <c r="F22" s="28">
        <v>13</v>
      </c>
      <c r="G22" s="28">
        <v>11.5</v>
      </c>
      <c r="H22" s="29">
        <v>1350</v>
      </c>
      <c r="I22" s="6" t="s">
        <v>76</v>
      </c>
      <c r="J22" s="30">
        <v>13</v>
      </c>
      <c r="K22" s="31" t="s">
        <v>77</v>
      </c>
      <c r="L22" s="7" t="s">
        <v>107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5.75" customHeight="1">
      <c r="A23" s="6" t="s">
        <v>108</v>
      </c>
      <c r="B23" s="6" t="s">
        <v>109</v>
      </c>
      <c r="C23" s="6" t="s">
        <v>17</v>
      </c>
      <c r="D23" s="27" t="s">
        <v>102</v>
      </c>
      <c r="E23" s="28">
        <v>4.4000000000000004</v>
      </c>
      <c r="F23" s="28">
        <v>20</v>
      </c>
      <c r="G23" s="28">
        <v>18</v>
      </c>
      <c r="H23" s="29">
        <v>960</v>
      </c>
      <c r="I23" s="6" t="s">
        <v>76</v>
      </c>
      <c r="J23" s="30">
        <v>13</v>
      </c>
      <c r="K23" s="31" t="s">
        <v>77</v>
      </c>
      <c r="L23" s="32" t="s">
        <v>110</v>
      </c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5.75" customHeight="1">
      <c r="A24" s="5" t="s">
        <v>111</v>
      </c>
      <c r="B24" s="5" t="s">
        <v>112</v>
      </c>
      <c r="C24" s="5" t="s">
        <v>113</v>
      </c>
      <c r="D24" s="27" t="s">
        <v>114</v>
      </c>
      <c r="E24" s="28">
        <v>0.6</v>
      </c>
      <c r="F24" s="28">
        <v>18</v>
      </c>
      <c r="G24" s="28">
        <v>16.5</v>
      </c>
      <c r="H24" s="29">
        <v>1200</v>
      </c>
      <c r="I24" s="6" t="s">
        <v>76</v>
      </c>
      <c r="J24" s="30">
        <v>8</v>
      </c>
      <c r="K24" s="31" t="s">
        <v>77</v>
      </c>
      <c r="L24" s="7" t="s">
        <v>115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5.75" customHeight="1">
      <c r="A25" s="5" t="s">
        <v>116</v>
      </c>
      <c r="B25" s="15"/>
      <c r="C25" s="6" t="s">
        <v>17</v>
      </c>
      <c r="D25" s="36" t="s">
        <v>117</v>
      </c>
      <c r="E25" s="26"/>
      <c r="F25" s="28">
        <v>20.5</v>
      </c>
      <c r="G25" s="28">
        <v>18.5</v>
      </c>
      <c r="H25" s="29">
        <v>1321</v>
      </c>
      <c r="I25" s="6" t="s">
        <v>76</v>
      </c>
      <c r="J25" s="30">
        <v>13</v>
      </c>
      <c r="K25" s="31" t="s">
        <v>77</v>
      </c>
      <c r="L25" s="7" t="s">
        <v>118</v>
      </c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5.75" customHeight="1">
      <c r="A26" s="5" t="s">
        <v>119</v>
      </c>
      <c r="B26" s="15"/>
      <c r="C26" s="6" t="s">
        <v>17</v>
      </c>
      <c r="D26" s="27" t="s">
        <v>102</v>
      </c>
      <c r="E26" s="28">
        <v>4.4000000000000004</v>
      </c>
      <c r="F26" s="28">
        <v>20</v>
      </c>
      <c r="G26" s="28">
        <v>18</v>
      </c>
      <c r="H26" s="29">
        <v>960</v>
      </c>
      <c r="I26" s="6" t="s">
        <v>76</v>
      </c>
      <c r="J26" s="30">
        <v>12</v>
      </c>
      <c r="K26" s="31" t="s">
        <v>77</v>
      </c>
      <c r="L26" s="32" t="s">
        <v>26</v>
      </c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5.75" customHeight="1">
      <c r="A27" s="5" t="s">
        <v>120</v>
      </c>
      <c r="B27" s="15"/>
      <c r="C27" s="6" t="s">
        <v>17</v>
      </c>
      <c r="D27" s="27" t="s">
        <v>102</v>
      </c>
      <c r="E27" s="28">
        <v>4.4000000000000004</v>
      </c>
      <c r="F27" s="28">
        <v>20</v>
      </c>
      <c r="G27" s="28">
        <v>18</v>
      </c>
      <c r="H27" s="29">
        <v>960</v>
      </c>
      <c r="I27" s="6" t="s">
        <v>76</v>
      </c>
      <c r="J27" s="30">
        <v>13</v>
      </c>
      <c r="K27" s="31" t="s">
        <v>77</v>
      </c>
      <c r="L27" s="32" t="s">
        <v>26</v>
      </c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5.75" customHeight="1">
      <c r="A28" s="6" t="s">
        <v>121</v>
      </c>
      <c r="B28" s="6"/>
      <c r="C28" s="6" t="s">
        <v>17</v>
      </c>
      <c r="D28" s="27" t="s">
        <v>75</v>
      </c>
      <c r="E28" s="28">
        <v>4.5999999999999996</v>
      </c>
      <c r="F28" s="28">
        <v>19</v>
      </c>
      <c r="G28" s="28">
        <v>17</v>
      </c>
      <c r="H28" s="29">
        <v>960</v>
      </c>
      <c r="I28" s="6" t="s">
        <v>76</v>
      </c>
      <c r="J28" s="30">
        <v>13</v>
      </c>
      <c r="K28" s="31" t="s">
        <v>77</v>
      </c>
      <c r="L28" s="32" t="s">
        <v>122</v>
      </c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5.75" customHeight="1">
      <c r="A29" s="6" t="s">
        <v>123</v>
      </c>
      <c r="B29" s="6"/>
      <c r="C29" s="6" t="s">
        <v>17</v>
      </c>
      <c r="D29" s="27" t="s">
        <v>75</v>
      </c>
      <c r="E29" s="28">
        <v>4.5999999999999996</v>
      </c>
      <c r="F29" s="28">
        <v>19</v>
      </c>
      <c r="G29" s="28">
        <v>17</v>
      </c>
      <c r="H29" s="29">
        <v>960</v>
      </c>
      <c r="I29" s="6" t="s">
        <v>76</v>
      </c>
      <c r="J29" s="30">
        <v>13</v>
      </c>
      <c r="K29" s="31" t="s">
        <v>77</v>
      </c>
      <c r="L29" s="7" t="s">
        <v>26</v>
      </c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5.75" customHeight="1">
      <c r="A30" s="6" t="s">
        <v>124</v>
      </c>
      <c r="B30" s="6"/>
      <c r="C30" s="6" t="s">
        <v>17</v>
      </c>
      <c r="D30" s="37">
        <v>5.1100000000000003</v>
      </c>
      <c r="E30" s="28">
        <v>5.0599999999999996</v>
      </c>
      <c r="F30" s="28">
        <v>19</v>
      </c>
      <c r="G30" s="28">
        <v>17</v>
      </c>
      <c r="H30" s="29">
        <v>960</v>
      </c>
      <c r="I30" s="6" t="s">
        <v>76</v>
      </c>
      <c r="J30" s="30">
        <v>13</v>
      </c>
      <c r="K30" s="31" t="s">
        <v>77</v>
      </c>
      <c r="L30" s="7" t="s">
        <v>125</v>
      </c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5.75" customHeight="1">
      <c r="A31" s="6" t="s">
        <v>126</v>
      </c>
      <c r="B31" s="6"/>
      <c r="C31" s="6" t="s">
        <v>17</v>
      </c>
      <c r="D31" s="27" t="s">
        <v>75</v>
      </c>
      <c r="E31" s="28">
        <v>4.5999999999999996</v>
      </c>
      <c r="F31" s="28">
        <v>19</v>
      </c>
      <c r="G31" s="28">
        <v>17</v>
      </c>
      <c r="H31" s="29">
        <v>960</v>
      </c>
      <c r="I31" s="6" t="s">
        <v>76</v>
      </c>
      <c r="J31" s="30">
        <v>13</v>
      </c>
      <c r="K31" s="31" t="s">
        <v>77</v>
      </c>
      <c r="L31" s="7" t="s">
        <v>127</v>
      </c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5.75" customHeight="1">
      <c r="A32" s="6" t="s">
        <v>128</v>
      </c>
      <c r="B32" s="6"/>
      <c r="C32" s="6" t="s">
        <v>17</v>
      </c>
      <c r="D32" s="37">
        <v>35.5</v>
      </c>
      <c r="E32" s="28">
        <v>33.5</v>
      </c>
      <c r="F32" s="28">
        <v>19</v>
      </c>
      <c r="G32" s="28">
        <v>17</v>
      </c>
      <c r="H32" s="29">
        <v>960</v>
      </c>
      <c r="I32" s="6" t="s">
        <v>76</v>
      </c>
      <c r="J32" s="30">
        <v>11</v>
      </c>
      <c r="K32" s="31" t="s">
        <v>86</v>
      </c>
      <c r="L32" s="7" t="s">
        <v>129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5.75" customHeight="1">
      <c r="A33" s="6" t="s">
        <v>130</v>
      </c>
      <c r="B33" s="6"/>
      <c r="C33" s="6" t="s">
        <v>17</v>
      </c>
      <c r="D33" s="37">
        <v>4.8</v>
      </c>
      <c r="E33" s="28">
        <v>4.4000000000000004</v>
      </c>
      <c r="F33" s="28">
        <v>20</v>
      </c>
      <c r="G33" s="28">
        <v>17</v>
      </c>
      <c r="H33" s="29">
        <v>960</v>
      </c>
      <c r="I33" s="6" t="s">
        <v>76</v>
      </c>
      <c r="J33" s="30">
        <v>13</v>
      </c>
      <c r="K33" s="31" t="s">
        <v>77</v>
      </c>
      <c r="L33" s="32" t="s">
        <v>26</v>
      </c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5.75" customHeight="1">
      <c r="A34" s="6" t="s">
        <v>131</v>
      </c>
      <c r="B34" s="6"/>
      <c r="C34" s="6" t="s">
        <v>17</v>
      </c>
      <c r="D34" s="37">
        <v>5</v>
      </c>
      <c r="E34" s="28">
        <v>4.5999999999999996</v>
      </c>
      <c r="F34" s="28">
        <v>19</v>
      </c>
      <c r="G34" s="28">
        <v>18</v>
      </c>
      <c r="H34" s="29">
        <v>960</v>
      </c>
      <c r="I34" s="6" t="s">
        <v>76</v>
      </c>
      <c r="J34" s="30">
        <v>12.5</v>
      </c>
      <c r="K34" s="31" t="s">
        <v>77</v>
      </c>
      <c r="L34" s="32" t="s">
        <v>89</v>
      </c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5.75" customHeight="1">
      <c r="A35" s="6" t="s">
        <v>132</v>
      </c>
      <c r="B35" s="6"/>
      <c r="C35" s="6" t="s">
        <v>17</v>
      </c>
      <c r="D35" s="37">
        <v>4.8</v>
      </c>
      <c r="E35" s="28">
        <v>4.4000000000000004</v>
      </c>
      <c r="F35" s="28">
        <v>19</v>
      </c>
      <c r="G35" s="28">
        <v>17</v>
      </c>
      <c r="H35" s="29">
        <v>960</v>
      </c>
      <c r="I35" s="6" t="s">
        <v>76</v>
      </c>
      <c r="J35" s="30">
        <v>13</v>
      </c>
      <c r="K35" s="31" t="s">
        <v>77</v>
      </c>
      <c r="L35" s="32" t="s">
        <v>26</v>
      </c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5.75" customHeight="1">
      <c r="A36" s="6" t="s">
        <v>133</v>
      </c>
      <c r="B36" s="6"/>
      <c r="C36" s="6" t="s">
        <v>134</v>
      </c>
      <c r="D36" s="37">
        <v>2.16</v>
      </c>
      <c r="E36" s="28">
        <v>1.9</v>
      </c>
      <c r="F36" s="28">
        <v>8</v>
      </c>
      <c r="G36" s="28">
        <v>6</v>
      </c>
      <c r="H36" s="29">
        <v>2400</v>
      </c>
      <c r="I36" s="6" t="s">
        <v>135</v>
      </c>
      <c r="J36" s="30">
        <v>13</v>
      </c>
      <c r="K36" s="31" t="s">
        <v>136</v>
      </c>
      <c r="L36" s="7" t="s">
        <v>137</v>
      </c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5.75" customHeight="1">
      <c r="A37" s="6" t="s">
        <v>138</v>
      </c>
      <c r="B37" s="6"/>
      <c r="C37" s="6" t="s">
        <v>134</v>
      </c>
      <c r="D37" s="37">
        <v>13</v>
      </c>
      <c r="E37" s="28">
        <v>11</v>
      </c>
      <c r="F37" s="28">
        <v>17</v>
      </c>
      <c r="G37" s="28">
        <v>14.5</v>
      </c>
      <c r="H37" s="29">
        <v>1350</v>
      </c>
      <c r="I37" s="6" t="s">
        <v>135</v>
      </c>
      <c r="J37" s="30">
        <v>9</v>
      </c>
      <c r="K37" s="31" t="s">
        <v>139</v>
      </c>
      <c r="L37" s="7" t="s">
        <v>129</v>
      </c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5.75" customHeight="1">
      <c r="A38" s="6" t="s">
        <v>140</v>
      </c>
      <c r="B38" s="6"/>
      <c r="C38" s="6" t="s">
        <v>134</v>
      </c>
      <c r="D38" s="37">
        <v>12</v>
      </c>
      <c r="E38" s="28">
        <v>10.14</v>
      </c>
      <c r="F38" s="28">
        <v>17.5</v>
      </c>
      <c r="G38" s="28">
        <v>14.5</v>
      </c>
      <c r="H38" s="29">
        <v>1728</v>
      </c>
      <c r="I38" s="6" t="s">
        <v>135</v>
      </c>
      <c r="J38" s="30">
        <v>12</v>
      </c>
      <c r="K38" s="31" t="s">
        <v>139</v>
      </c>
      <c r="L38" s="7" t="s">
        <v>141</v>
      </c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5.75" customHeight="1">
      <c r="A39" s="5" t="s">
        <v>142</v>
      </c>
      <c r="B39" s="5" t="s">
        <v>143</v>
      </c>
      <c r="C39" s="5" t="s">
        <v>144</v>
      </c>
      <c r="D39" s="189">
        <v>1.2</v>
      </c>
      <c r="E39" s="190">
        <v>1.1200000000000001</v>
      </c>
      <c r="F39" s="39">
        <v>13</v>
      </c>
      <c r="G39" s="38">
        <v>11.5</v>
      </c>
      <c r="H39" s="40">
        <v>2200</v>
      </c>
      <c r="I39" s="6" t="s">
        <v>135</v>
      </c>
      <c r="J39" s="30">
        <v>2</v>
      </c>
      <c r="K39" s="35" t="s">
        <v>890</v>
      </c>
      <c r="L39" s="7" t="s">
        <v>26</v>
      </c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5.75" customHeight="1">
      <c r="A40" s="5" t="s">
        <v>146</v>
      </c>
      <c r="B40" s="5" t="s">
        <v>143</v>
      </c>
      <c r="C40" s="5" t="s">
        <v>144</v>
      </c>
      <c r="D40" s="189">
        <v>1.2</v>
      </c>
      <c r="E40" s="190">
        <v>1.1200000000000001</v>
      </c>
      <c r="F40" s="39">
        <v>13</v>
      </c>
      <c r="G40" s="38">
        <v>11.5</v>
      </c>
      <c r="H40" s="40">
        <v>2200</v>
      </c>
      <c r="I40" s="6" t="s">
        <v>135</v>
      </c>
      <c r="J40" s="30">
        <v>2</v>
      </c>
      <c r="K40" s="6" t="s">
        <v>145</v>
      </c>
      <c r="L40" s="7" t="s">
        <v>26</v>
      </c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5.75" customHeight="1">
      <c r="A41" s="5" t="s">
        <v>858</v>
      </c>
      <c r="B41" s="15"/>
      <c r="C41" s="5" t="s">
        <v>144</v>
      </c>
      <c r="D41" s="189">
        <v>1.2</v>
      </c>
      <c r="E41" s="190">
        <v>1.1200000000000001</v>
      </c>
      <c r="F41" s="39">
        <v>13</v>
      </c>
      <c r="G41" s="38">
        <v>11.5</v>
      </c>
      <c r="H41" s="40">
        <v>2200</v>
      </c>
      <c r="I41" s="6" t="s">
        <v>135</v>
      </c>
      <c r="J41" s="30">
        <v>2</v>
      </c>
      <c r="K41" s="6" t="s">
        <v>145</v>
      </c>
      <c r="L41" s="7" t="s">
        <v>26</v>
      </c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5.75" customHeight="1">
      <c r="A42" s="241" t="s">
        <v>880</v>
      </c>
      <c r="B42" s="15"/>
      <c r="C42" s="5" t="s">
        <v>144</v>
      </c>
      <c r="D42" s="189">
        <v>1.2</v>
      </c>
      <c r="E42" s="190">
        <v>1.1200000000000001</v>
      </c>
      <c r="F42" s="39">
        <v>13</v>
      </c>
      <c r="G42" s="38">
        <v>11.5</v>
      </c>
      <c r="H42" s="285">
        <v>2200</v>
      </c>
      <c r="I42" s="6" t="s">
        <v>135</v>
      </c>
      <c r="J42" s="30">
        <v>2</v>
      </c>
      <c r="K42" s="35" t="s">
        <v>890</v>
      </c>
      <c r="L42" s="7" t="s">
        <v>26</v>
      </c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5.75" customHeight="1">
      <c r="A43" s="5" t="s">
        <v>1183</v>
      </c>
      <c r="B43" s="5" t="s">
        <v>1193</v>
      </c>
      <c r="C43" s="5" t="s">
        <v>1193</v>
      </c>
      <c r="D43" s="27">
        <v>1</v>
      </c>
      <c r="E43" s="28">
        <v>0.9</v>
      </c>
      <c r="F43" s="28">
        <v>19</v>
      </c>
      <c r="G43" s="28">
        <v>17</v>
      </c>
      <c r="H43" s="29">
        <v>1074</v>
      </c>
      <c r="I43" s="6" t="s">
        <v>76</v>
      </c>
      <c r="J43" s="30">
        <v>8</v>
      </c>
      <c r="K43" s="31" t="s">
        <v>136</v>
      </c>
      <c r="L43" s="7" t="s">
        <v>26</v>
      </c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5.75" customHeight="1">
      <c r="A44" s="241" t="s">
        <v>1206</v>
      </c>
      <c r="B44" s="5" t="s">
        <v>1193</v>
      </c>
      <c r="C44" s="5" t="s">
        <v>1193</v>
      </c>
      <c r="D44" s="27">
        <v>1</v>
      </c>
      <c r="E44" s="28">
        <v>0.9</v>
      </c>
      <c r="F44" s="28">
        <v>18</v>
      </c>
      <c r="G44" s="28">
        <v>16</v>
      </c>
      <c r="H44" s="29">
        <v>1300</v>
      </c>
      <c r="I44" s="6" t="s">
        <v>76</v>
      </c>
      <c r="J44" s="30">
        <v>8</v>
      </c>
      <c r="K44" s="31" t="s">
        <v>136</v>
      </c>
      <c r="L44" s="7" t="s">
        <v>26</v>
      </c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s="336" customFormat="1" ht="15.75" customHeight="1">
      <c r="A45" s="340" t="s">
        <v>1213</v>
      </c>
      <c r="B45" s="341" t="s">
        <v>1237</v>
      </c>
      <c r="C45" s="341" t="s">
        <v>1237</v>
      </c>
      <c r="D45" s="342">
        <v>1</v>
      </c>
      <c r="E45" s="343">
        <v>0.9</v>
      </c>
      <c r="F45" s="343">
        <v>11.5</v>
      </c>
      <c r="G45" s="343">
        <v>11</v>
      </c>
      <c r="H45" s="344">
        <v>2200</v>
      </c>
      <c r="I45" s="320" t="s">
        <v>76</v>
      </c>
      <c r="J45" s="321">
        <v>2</v>
      </c>
      <c r="K45" s="345" t="s">
        <v>136</v>
      </c>
      <c r="L45" s="322" t="s">
        <v>1223</v>
      </c>
      <c r="M45" s="346"/>
      <c r="N45" s="346"/>
      <c r="O45" s="346"/>
      <c r="P45" s="346"/>
      <c r="Q45" s="346"/>
      <c r="R45" s="346"/>
      <c r="S45" s="346"/>
      <c r="T45" s="346"/>
      <c r="U45" s="346"/>
      <c r="V45" s="346"/>
      <c r="W45" s="346"/>
      <c r="X45" s="346"/>
      <c r="Y45" s="346"/>
      <c r="Z45" s="346"/>
    </row>
    <row r="46" spans="1:26" s="336" customFormat="1" ht="15.75" customHeight="1">
      <c r="A46" s="340" t="s">
        <v>1236</v>
      </c>
      <c r="B46" s="341" t="s">
        <v>1237</v>
      </c>
      <c r="C46" s="341" t="s">
        <v>1237</v>
      </c>
      <c r="D46" s="342">
        <v>28.3</v>
      </c>
      <c r="E46" s="343">
        <v>0.78</v>
      </c>
      <c r="F46" s="343">
        <v>11.09</v>
      </c>
      <c r="G46" s="343">
        <v>10.09</v>
      </c>
      <c r="H46" s="344">
        <v>2050</v>
      </c>
      <c r="I46" s="320" t="s">
        <v>76</v>
      </c>
      <c r="J46" s="321">
        <v>2</v>
      </c>
      <c r="K46" s="345" t="s">
        <v>139</v>
      </c>
      <c r="L46" s="322" t="s">
        <v>1238</v>
      </c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46"/>
      <c r="X46" s="346"/>
      <c r="Y46" s="346"/>
      <c r="Z46" s="346"/>
    </row>
    <row r="47" spans="1:26">
      <c r="A47" s="5" t="s">
        <v>1355</v>
      </c>
      <c r="B47" s="5" t="s">
        <v>17</v>
      </c>
      <c r="C47" s="5" t="s">
        <v>17</v>
      </c>
      <c r="D47" s="27">
        <v>5.69</v>
      </c>
      <c r="E47" s="28">
        <v>4.5999999999999996</v>
      </c>
      <c r="F47" s="28">
        <v>20</v>
      </c>
      <c r="G47" s="28">
        <v>18</v>
      </c>
      <c r="H47" s="29">
        <v>960</v>
      </c>
      <c r="I47" s="6" t="s">
        <v>76</v>
      </c>
      <c r="J47" s="292" t="s">
        <v>1424</v>
      </c>
      <c r="K47" s="31" t="s">
        <v>77</v>
      </c>
      <c r="L47" s="32" t="s">
        <v>1356</v>
      </c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5.75" customHeight="1">
      <c r="A48" s="6" t="s">
        <v>1414</v>
      </c>
      <c r="B48" s="387" t="s">
        <v>29</v>
      </c>
      <c r="C48" s="387" t="s">
        <v>29</v>
      </c>
      <c r="D48" s="37">
        <v>3.3</v>
      </c>
      <c r="E48" s="28">
        <v>3</v>
      </c>
      <c r="F48" s="28">
        <v>8</v>
      </c>
      <c r="G48" s="28">
        <v>7</v>
      </c>
      <c r="H48" s="29">
        <v>2400</v>
      </c>
      <c r="I48" s="6" t="s">
        <v>135</v>
      </c>
      <c r="J48" s="292">
        <v>11</v>
      </c>
      <c r="K48" s="31" t="s">
        <v>139</v>
      </c>
      <c r="L48" s="24" t="s">
        <v>1423</v>
      </c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5.75" customHeight="1">
      <c r="A49" s="6" t="s">
        <v>1429</v>
      </c>
      <c r="B49" s="387" t="s">
        <v>29</v>
      </c>
      <c r="C49" s="387" t="s">
        <v>29</v>
      </c>
      <c r="D49" s="37">
        <v>3.3</v>
      </c>
      <c r="E49" s="28">
        <v>3</v>
      </c>
      <c r="F49" s="28">
        <v>8</v>
      </c>
      <c r="G49" s="28">
        <v>7</v>
      </c>
      <c r="H49" s="29">
        <v>2400</v>
      </c>
      <c r="I49" s="6" t="s">
        <v>135</v>
      </c>
      <c r="J49" s="292">
        <v>11</v>
      </c>
      <c r="K49" s="31" t="s">
        <v>139</v>
      </c>
      <c r="L49" s="7" t="s">
        <v>26</v>
      </c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5.75" customHeight="1">
      <c r="A50" s="6" t="s">
        <v>1444</v>
      </c>
      <c r="B50" s="387" t="s">
        <v>29</v>
      </c>
      <c r="C50" s="387" t="s">
        <v>29</v>
      </c>
      <c r="D50" s="37">
        <v>3.3</v>
      </c>
      <c r="E50" s="28">
        <v>3</v>
      </c>
      <c r="F50" s="28">
        <v>8.5</v>
      </c>
      <c r="G50" s="28">
        <v>7</v>
      </c>
      <c r="H50" s="29">
        <v>2100</v>
      </c>
      <c r="I50" s="6" t="s">
        <v>135</v>
      </c>
      <c r="J50" s="292">
        <v>11</v>
      </c>
      <c r="K50" s="31" t="s">
        <v>139</v>
      </c>
      <c r="L50" s="7" t="s">
        <v>26</v>
      </c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5.75" customHeight="1">
      <c r="A51" s="6" t="s">
        <v>1453</v>
      </c>
      <c r="B51" s="5" t="s">
        <v>17</v>
      </c>
      <c r="C51" s="5" t="s">
        <v>17</v>
      </c>
      <c r="D51" s="37">
        <v>5.69</v>
      </c>
      <c r="E51" s="28">
        <v>4.5999999999999996</v>
      </c>
      <c r="F51" s="28">
        <v>20</v>
      </c>
      <c r="G51" s="28">
        <v>18</v>
      </c>
      <c r="H51" s="29">
        <v>960</v>
      </c>
      <c r="I51" s="6" t="s">
        <v>76</v>
      </c>
      <c r="J51" s="292">
        <v>14</v>
      </c>
      <c r="K51" s="31" t="s">
        <v>94</v>
      </c>
      <c r="L51" s="7" t="s">
        <v>1465</v>
      </c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5.75" customHeight="1">
      <c r="A52" s="6" t="s">
        <v>1520</v>
      </c>
      <c r="B52" s="387" t="s">
        <v>29</v>
      </c>
      <c r="C52" s="387" t="s">
        <v>29</v>
      </c>
      <c r="D52" s="37">
        <v>3.3</v>
      </c>
      <c r="E52" s="28">
        <v>3</v>
      </c>
      <c r="F52" s="28">
        <v>8.5</v>
      </c>
      <c r="G52" s="28">
        <v>7</v>
      </c>
      <c r="H52" s="29">
        <v>2400</v>
      </c>
      <c r="I52" s="6" t="s">
        <v>135</v>
      </c>
      <c r="J52" s="292">
        <v>11</v>
      </c>
      <c r="K52" s="31" t="s">
        <v>139</v>
      </c>
      <c r="L52" s="7" t="s">
        <v>26</v>
      </c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5.75" customHeight="1">
      <c r="A53" s="6" t="s">
        <v>1523</v>
      </c>
      <c r="B53" s="387" t="s">
        <v>29</v>
      </c>
      <c r="C53" s="387" t="s">
        <v>29</v>
      </c>
      <c r="D53" s="37">
        <v>3.3</v>
      </c>
      <c r="E53" s="28">
        <v>3</v>
      </c>
      <c r="F53" s="28">
        <v>8.5</v>
      </c>
      <c r="G53" s="28">
        <v>7</v>
      </c>
      <c r="H53" s="29">
        <v>2400</v>
      </c>
      <c r="I53" s="6" t="s">
        <v>135</v>
      </c>
      <c r="J53" s="292">
        <v>11</v>
      </c>
      <c r="K53" s="31" t="s">
        <v>139</v>
      </c>
      <c r="L53" s="24" t="s">
        <v>1522</v>
      </c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5.75" customHeight="1">
      <c r="A54" s="6" t="s">
        <v>1562</v>
      </c>
      <c r="B54" s="387" t="s">
        <v>29</v>
      </c>
      <c r="C54" s="387" t="s">
        <v>29</v>
      </c>
      <c r="D54" s="37">
        <v>1.67</v>
      </c>
      <c r="E54" s="28">
        <v>1.55</v>
      </c>
      <c r="F54" s="28">
        <v>16</v>
      </c>
      <c r="G54" s="28">
        <v>14</v>
      </c>
      <c r="H54" s="29">
        <v>1350</v>
      </c>
      <c r="I54" s="6" t="s">
        <v>135</v>
      </c>
      <c r="J54" s="292">
        <v>12</v>
      </c>
      <c r="K54" s="31" t="s">
        <v>139</v>
      </c>
      <c r="L54" s="171" t="s">
        <v>2012</v>
      </c>
      <c r="M54" s="26">
        <v>26</v>
      </c>
      <c r="N54" s="7" t="s">
        <v>1574</v>
      </c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5.75" customHeight="1">
      <c r="A55" s="6" t="s">
        <v>1576</v>
      </c>
      <c r="B55" s="387" t="s">
        <v>29</v>
      </c>
      <c r="C55" s="387" t="s">
        <v>29</v>
      </c>
      <c r="D55" s="37">
        <v>2.2000000000000002</v>
      </c>
      <c r="E55" s="28">
        <v>2</v>
      </c>
      <c r="F55" s="28">
        <v>16</v>
      </c>
      <c r="G55" s="28">
        <v>14</v>
      </c>
      <c r="H55" s="29">
        <v>1350</v>
      </c>
      <c r="I55" s="6" t="s">
        <v>135</v>
      </c>
      <c r="J55" s="292">
        <v>10</v>
      </c>
      <c r="K55" s="31" t="s">
        <v>139</v>
      </c>
      <c r="L55" s="24" t="s">
        <v>1577</v>
      </c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5.75" customHeight="1">
      <c r="A56" s="6" t="s">
        <v>1600</v>
      </c>
      <c r="B56" s="5" t="s">
        <v>17</v>
      </c>
      <c r="C56" s="5" t="s">
        <v>17</v>
      </c>
      <c r="D56" s="37">
        <v>5</v>
      </c>
      <c r="E56" s="28">
        <v>4.5999999999999996</v>
      </c>
      <c r="F56" s="28">
        <v>20</v>
      </c>
      <c r="G56" s="28">
        <v>18</v>
      </c>
      <c r="H56" s="29">
        <v>960</v>
      </c>
      <c r="I56" s="6" t="s">
        <v>76</v>
      </c>
      <c r="J56" s="292">
        <v>12</v>
      </c>
      <c r="K56" s="31" t="s">
        <v>94</v>
      </c>
      <c r="L56" s="24" t="s">
        <v>1601</v>
      </c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5.75" customHeight="1">
      <c r="A57" s="6" t="s">
        <v>1609</v>
      </c>
      <c r="B57" s="5" t="s">
        <v>17</v>
      </c>
      <c r="C57" s="5" t="s">
        <v>17</v>
      </c>
      <c r="D57" s="37">
        <v>5</v>
      </c>
      <c r="E57" s="28">
        <v>4.5999999999999996</v>
      </c>
      <c r="F57" s="28">
        <v>20</v>
      </c>
      <c r="G57" s="28">
        <v>18</v>
      </c>
      <c r="H57" s="29">
        <v>960</v>
      </c>
      <c r="I57" s="6" t="s">
        <v>76</v>
      </c>
      <c r="J57" s="292">
        <v>14</v>
      </c>
      <c r="K57" s="31" t="s">
        <v>77</v>
      </c>
      <c r="L57" s="24" t="s">
        <v>1619</v>
      </c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5.75" customHeight="1">
      <c r="A58" s="6" t="s">
        <v>1642</v>
      </c>
      <c r="B58" s="387" t="s">
        <v>29</v>
      </c>
      <c r="C58" s="387" t="s">
        <v>29</v>
      </c>
      <c r="D58" s="37">
        <v>75</v>
      </c>
      <c r="E58" s="28">
        <v>2.14</v>
      </c>
      <c r="F58" s="28">
        <v>8.3000000000000007</v>
      </c>
      <c r="G58" s="28">
        <v>7</v>
      </c>
      <c r="H58" s="29">
        <v>2400</v>
      </c>
      <c r="I58" s="6" t="s">
        <v>135</v>
      </c>
      <c r="J58" s="292">
        <v>12</v>
      </c>
      <c r="K58" s="31" t="s">
        <v>139</v>
      </c>
      <c r="L58" s="24" t="s">
        <v>1643</v>
      </c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5.75" customHeight="1">
      <c r="A59" s="6" t="s">
        <v>1657</v>
      </c>
      <c r="B59" s="5" t="s">
        <v>17</v>
      </c>
      <c r="C59" s="5" t="s">
        <v>17</v>
      </c>
      <c r="D59" s="37">
        <v>5</v>
      </c>
      <c r="E59" s="28">
        <v>4.5999999999999996</v>
      </c>
      <c r="F59" s="28">
        <v>20</v>
      </c>
      <c r="G59" s="28">
        <v>18.5</v>
      </c>
      <c r="H59" s="29">
        <v>960</v>
      </c>
      <c r="I59" s="6" t="s">
        <v>76</v>
      </c>
      <c r="J59" s="292">
        <v>13</v>
      </c>
      <c r="K59" s="31" t="s">
        <v>77</v>
      </c>
      <c r="L59" s="24" t="s">
        <v>26</v>
      </c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5.75" customHeight="1">
      <c r="A60" s="6" t="s">
        <v>1903</v>
      </c>
      <c r="B60" s="387" t="s">
        <v>29</v>
      </c>
      <c r="C60" s="387" t="s">
        <v>29</v>
      </c>
      <c r="D60" s="37">
        <v>2</v>
      </c>
      <c r="E60" s="28">
        <v>1.8</v>
      </c>
      <c r="F60" s="28">
        <v>8.5</v>
      </c>
      <c r="G60" s="28">
        <v>7</v>
      </c>
      <c r="H60" s="29">
        <v>2400</v>
      </c>
      <c r="I60" s="6" t="s">
        <v>135</v>
      </c>
      <c r="J60" s="292">
        <v>10</v>
      </c>
      <c r="K60" s="31" t="s">
        <v>890</v>
      </c>
      <c r="L60" s="24" t="s">
        <v>26</v>
      </c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5.75" customHeight="1">
      <c r="A61" s="6" t="s">
        <v>1981</v>
      </c>
      <c r="B61" s="387" t="s">
        <v>29</v>
      </c>
      <c r="C61" s="387" t="s">
        <v>29</v>
      </c>
      <c r="D61" s="37">
        <v>75</v>
      </c>
      <c r="E61" s="28">
        <v>1.8</v>
      </c>
      <c r="F61" s="28">
        <v>8.5</v>
      </c>
      <c r="G61" s="28">
        <v>7</v>
      </c>
      <c r="H61" s="29">
        <v>2400</v>
      </c>
      <c r="I61" s="6" t="s">
        <v>135</v>
      </c>
      <c r="J61" s="292">
        <v>11</v>
      </c>
      <c r="K61" s="31" t="s">
        <v>139</v>
      </c>
      <c r="L61" s="24" t="s">
        <v>1982</v>
      </c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5.75" customHeight="1">
      <c r="A62" s="6" t="s">
        <v>2073</v>
      </c>
      <c r="B62" s="387" t="s">
        <v>29</v>
      </c>
      <c r="C62" s="387" t="s">
        <v>29</v>
      </c>
      <c r="D62" s="37">
        <v>2</v>
      </c>
      <c r="E62" s="28">
        <v>1.8</v>
      </c>
      <c r="F62" s="28">
        <v>8.5</v>
      </c>
      <c r="G62" s="28">
        <v>7</v>
      </c>
      <c r="H62" s="29">
        <v>2400</v>
      </c>
      <c r="I62" s="6" t="s">
        <v>135</v>
      </c>
      <c r="J62" s="292">
        <v>10</v>
      </c>
      <c r="K62" s="31" t="s">
        <v>890</v>
      </c>
      <c r="L62" s="24" t="s">
        <v>26</v>
      </c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5.75" customHeight="1">
      <c r="A63" s="6" t="s">
        <v>2154</v>
      </c>
      <c r="B63" s="387" t="s">
        <v>29</v>
      </c>
      <c r="C63" s="387" t="s">
        <v>29</v>
      </c>
      <c r="D63" s="37">
        <v>75</v>
      </c>
      <c r="E63" s="28">
        <v>2.14</v>
      </c>
      <c r="F63" s="28">
        <v>8.5</v>
      </c>
      <c r="G63" s="28">
        <v>7</v>
      </c>
      <c r="H63" s="29">
        <v>2400</v>
      </c>
      <c r="I63" s="6" t="s">
        <v>135</v>
      </c>
      <c r="J63" s="292">
        <v>10</v>
      </c>
      <c r="K63" s="31" t="s">
        <v>139</v>
      </c>
      <c r="L63" s="24" t="s">
        <v>2160</v>
      </c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5.75" customHeight="1">
      <c r="A64" s="275" t="s">
        <v>979</v>
      </c>
      <c r="B64" s="275" t="s">
        <v>970</v>
      </c>
      <c r="C64" s="275" t="s">
        <v>970</v>
      </c>
      <c r="D64" s="283">
        <v>550</v>
      </c>
      <c r="E64" s="283">
        <v>530</v>
      </c>
      <c r="F64" s="277">
        <v>21.15</v>
      </c>
      <c r="G64" s="278">
        <v>20</v>
      </c>
      <c r="H64" s="279">
        <v>1300</v>
      </c>
      <c r="I64" s="280" t="s">
        <v>982</v>
      </c>
      <c r="J64" s="281">
        <v>12</v>
      </c>
      <c r="K64" s="282" t="s">
        <v>136</v>
      </c>
      <c r="L64" s="276" t="s">
        <v>983</v>
      </c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5.75" customHeight="1">
      <c r="A65" s="5"/>
      <c r="B65" s="5"/>
      <c r="C65" s="5"/>
      <c r="D65" s="293"/>
      <c r="E65" s="15"/>
      <c r="F65" s="294"/>
      <c r="G65" s="295"/>
      <c r="H65" s="40"/>
      <c r="I65" s="6"/>
      <c r="J65" s="30"/>
      <c r="K65" s="292"/>
      <c r="L65" s="7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5.75" customHeight="1">
      <c r="A66" s="5"/>
      <c r="B66" s="5"/>
      <c r="C66" s="5"/>
      <c r="D66" s="293"/>
      <c r="E66" s="15"/>
      <c r="F66" s="294"/>
      <c r="G66" s="295"/>
      <c r="H66" s="40"/>
      <c r="I66" s="6"/>
      <c r="J66" s="30"/>
      <c r="K66" s="292"/>
      <c r="L66" s="7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5.75" customHeight="1">
      <c r="A67" s="5"/>
      <c r="B67" s="5"/>
      <c r="C67" s="5"/>
      <c r="D67" s="293"/>
      <c r="E67" s="15"/>
      <c r="F67" s="294"/>
      <c r="G67" s="295"/>
      <c r="H67" s="40"/>
      <c r="I67" s="6"/>
      <c r="J67" s="30"/>
      <c r="K67" s="292"/>
      <c r="L67" s="7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5.75" customHeight="1">
      <c r="A68" s="5"/>
      <c r="B68" s="5"/>
      <c r="C68" s="5"/>
      <c r="D68" s="293"/>
      <c r="E68" s="15"/>
      <c r="F68" s="294"/>
      <c r="G68" s="295"/>
      <c r="H68" s="40"/>
      <c r="I68" s="6"/>
      <c r="J68" s="30"/>
      <c r="K68" s="292"/>
      <c r="L68" s="7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5.75" customHeight="1">
      <c r="A69" s="5"/>
      <c r="B69" s="15"/>
      <c r="C69" s="5"/>
      <c r="D69" s="15"/>
      <c r="E69" s="15"/>
      <c r="F69" s="7"/>
      <c r="G69" s="15"/>
      <c r="H69" s="15"/>
      <c r="I69" s="7"/>
      <c r="J69" s="7"/>
      <c r="K69" s="7"/>
      <c r="L69" s="7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5.75" customHeight="1">
      <c r="A70" s="5"/>
      <c r="B70" s="15"/>
      <c r="C70" s="15"/>
      <c r="D70" s="15" t="s">
        <v>853</v>
      </c>
      <c r="E70" s="15" t="s">
        <v>854</v>
      </c>
      <c r="F70" s="7" t="s">
        <v>980</v>
      </c>
      <c r="G70" s="15" t="s">
        <v>981</v>
      </c>
      <c r="H70" s="15"/>
      <c r="I70" s="7"/>
      <c r="J70" s="7"/>
      <c r="K70" s="7"/>
      <c r="L70" s="7"/>
      <c r="M70" s="15" t="s">
        <v>1598</v>
      </c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5.75" customHeight="1">
      <c r="A71" s="5"/>
      <c r="B71" s="15"/>
      <c r="C71" s="15"/>
      <c r="D71" s="15"/>
      <c r="E71" s="15"/>
      <c r="F71" s="7"/>
      <c r="G71" s="15"/>
      <c r="H71" s="15"/>
      <c r="I71" s="7"/>
      <c r="J71" s="7"/>
      <c r="K71" s="7"/>
      <c r="L71" s="7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5.75" customHeight="1">
      <c r="A72" s="5"/>
      <c r="B72" s="15"/>
      <c r="C72" s="15"/>
      <c r="D72" s="15"/>
      <c r="E72" s="15"/>
      <c r="F72" s="7"/>
      <c r="G72" s="15"/>
      <c r="H72" s="15"/>
      <c r="I72" s="7"/>
      <c r="J72" s="7"/>
      <c r="K72" s="7"/>
      <c r="L72" s="7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5.75" customHeight="1">
      <c r="A73" s="5"/>
      <c r="B73" s="15"/>
      <c r="C73" s="15"/>
      <c r="D73" s="15"/>
      <c r="E73" s="15"/>
      <c r="F73" s="7"/>
      <c r="G73" s="15"/>
      <c r="H73" s="15"/>
      <c r="I73" s="7"/>
      <c r="J73" s="7"/>
      <c r="K73" s="7"/>
      <c r="L73" s="7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5.75" customHeight="1">
      <c r="A74" s="5"/>
      <c r="B74" s="15"/>
      <c r="C74" s="15"/>
      <c r="D74" s="15"/>
      <c r="E74" s="15"/>
      <c r="F74" s="7"/>
      <c r="G74" s="15"/>
      <c r="H74" s="15"/>
      <c r="I74" s="7"/>
      <c r="J74" s="7"/>
      <c r="K74" s="7"/>
      <c r="L74" s="7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5.75" customHeight="1">
      <c r="A75" s="5"/>
      <c r="B75" s="15"/>
      <c r="C75" s="15"/>
      <c r="D75" s="15"/>
      <c r="E75" s="15"/>
      <c r="F75" s="7"/>
      <c r="G75" s="15"/>
      <c r="H75" s="15"/>
      <c r="I75" s="7"/>
      <c r="J75" s="7"/>
      <c r="K75" s="7"/>
      <c r="L75" s="7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5.75" customHeight="1">
      <c r="A76" s="5"/>
      <c r="B76" s="15"/>
      <c r="C76" s="15"/>
      <c r="D76" s="15"/>
      <c r="E76" s="15"/>
      <c r="F76" s="7"/>
      <c r="G76" s="15"/>
      <c r="H76" s="15"/>
      <c r="I76" s="7"/>
      <c r="J76" s="7"/>
      <c r="K76" s="7"/>
      <c r="L76" s="7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5.75" customHeight="1">
      <c r="A77" s="5"/>
      <c r="B77" s="15"/>
      <c r="C77" s="15"/>
      <c r="D77" s="15"/>
      <c r="E77" s="15"/>
      <c r="F77" s="7"/>
      <c r="G77" s="15"/>
      <c r="H77" s="15"/>
      <c r="I77" s="7"/>
      <c r="J77" s="7"/>
      <c r="K77" s="7"/>
      <c r="L77" s="7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5.75" customHeight="1">
      <c r="A78" s="5"/>
      <c r="B78" s="15"/>
      <c r="C78" s="15"/>
      <c r="D78" s="15"/>
      <c r="E78" s="15"/>
      <c r="F78" s="7"/>
      <c r="G78" s="15"/>
      <c r="H78" s="15"/>
      <c r="I78" s="7"/>
      <c r="J78" s="7"/>
      <c r="K78" s="7"/>
      <c r="L78" s="7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5.75" customHeight="1">
      <c r="A79" s="5"/>
      <c r="B79" s="15"/>
      <c r="C79" s="15"/>
      <c r="D79" s="15"/>
      <c r="E79" s="15"/>
      <c r="F79" s="7"/>
      <c r="G79" s="15"/>
      <c r="H79" s="15"/>
      <c r="I79" s="7"/>
      <c r="J79" s="7"/>
      <c r="K79" s="7"/>
      <c r="L79" s="7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5.75" customHeight="1">
      <c r="A80" s="5"/>
      <c r="B80" s="15"/>
      <c r="C80" s="15"/>
      <c r="D80" s="15"/>
      <c r="E80" s="15"/>
      <c r="F80" s="7"/>
      <c r="G80" s="15"/>
      <c r="H80" s="15"/>
      <c r="I80" s="7"/>
      <c r="J80" s="7"/>
      <c r="K80" s="7"/>
      <c r="L80" s="7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5.75" customHeight="1">
      <c r="A81" s="5"/>
      <c r="B81" s="15"/>
      <c r="C81" s="15"/>
      <c r="D81" s="15"/>
      <c r="E81" s="15"/>
      <c r="F81" s="7"/>
      <c r="G81" s="15"/>
      <c r="H81" s="15"/>
      <c r="I81" s="7"/>
      <c r="J81" s="7"/>
      <c r="K81" s="7"/>
      <c r="L81" s="7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5.75" customHeight="1">
      <c r="A82" s="5"/>
      <c r="B82" s="15"/>
      <c r="C82" s="15"/>
      <c r="D82" s="15"/>
      <c r="E82" s="15"/>
      <c r="F82" s="7"/>
      <c r="G82" s="15"/>
      <c r="H82" s="15"/>
      <c r="I82" s="7"/>
      <c r="J82" s="7"/>
      <c r="K82" s="7"/>
      <c r="L82" s="7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5.75" customHeight="1">
      <c r="A83" s="5"/>
      <c r="B83" s="15"/>
      <c r="C83" s="15"/>
      <c r="D83" s="15"/>
      <c r="E83" s="15"/>
      <c r="F83" s="7"/>
      <c r="G83" s="15"/>
      <c r="H83" s="15"/>
      <c r="I83" s="7"/>
      <c r="J83" s="7"/>
      <c r="K83" s="7"/>
      <c r="L83" s="7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5.75" customHeight="1">
      <c r="A84" s="5"/>
      <c r="B84" s="15"/>
      <c r="C84" s="15"/>
      <c r="D84" s="15"/>
      <c r="E84" s="15"/>
      <c r="F84" s="7"/>
      <c r="G84" s="15"/>
      <c r="H84" s="15"/>
      <c r="I84" s="7"/>
      <c r="J84" s="7"/>
      <c r="K84" s="7"/>
      <c r="L84" s="7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5.75" customHeight="1">
      <c r="A85" s="5"/>
      <c r="B85" s="15"/>
      <c r="C85" s="15"/>
      <c r="D85" s="15"/>
      <c r="E85" s="15"/>
      <c r="F85" s="7"/>
      <c r="G85" s="15"/>
      <c r="H85" s="15"/>
      <c r="I85" s="7"/>
      <c r="J85" s="7"/>
      <c r="K85" s="7"/>
      <c r="L85" s="7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5.75" customHeight="1">
      <c r="A86" s="5"/>
      <c r="B86" s="15"/>
      <c r="C86" s="15"/>
      <c r="D86" s="15"/>
      <c r="E86" s="15"/>
      <c r="F86" s="7"/>
      <c r="G86" s="15"/>
      <c r="H86" s="15"/>
      <c r="I86" s="7"/>
      <c r="J86" s="7"/>
      <c r="K86" s="7"/>
      <c r="L86" s="7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5.75" customHeight="1">
      <c r="A87" s="5"/>
      <c r="B87" s="15"/>
      <c r="C87" s="15"/>
      <c r="D87" s="15"/>
      <c r="E87" s="15"/>
      <c r="F87" s="7"/>
      <c r="G87" s="15"/>
      <c r="H87" s="15"/>
      <c r="I87" s="7"/>
      <c r="J87" s="7"/>
      <c r="K87" s="7"/>
      <c r="L87" s="7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5.75" customHeight="1">
      <c r="A88" s="5"/>
      <c r="B88" s="15"/>
      <c r="C88" s="15"/>
      <c r="D88" s="15"/>
      <c r="E88" s="15"/>
      <c r="F88" s="7"/>
      <c r="G88" s="15"/>
      <c r="H88" s="15"/>
      <c r="I88" s="7"/>
      <c r="J88" s="7"/>
      <c r="K88" s="7"/>
      <c r="L88" s="7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5.75" customHeight="1">
      <c r="A89" s="5"/>
      <c r="B89" s="15"/>
      <c r="C89" s="15"/>
      <c r="D89" s="15"/>
      <c r="E89" s="15"/>
      <c r="F89" s="7"/>
      <c r="G89" s="15"/>
      <c r="H89" s="15"/>
      <c r="I89" s="7"/>
      <c r="J89" s="7"/>
      <c r="K89" s="7"/>
      <c r="L89" s="7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5.75" customHeight="1">
      <c r="A90" s="5"/>
      <c r="B90" s="15"/>
      <c r="C90" s="15"/>
      <c r="D90" s="15"/>
      <c r="E90" s="15"/>
      <c r="F90" s="7"/>
      <c r="G90" s="15"/>
      <c r="H90" s="15"/>
      <c r="I90" s="7"/>
      <c r="J90" s="7"/>
      <c r="K90" s="7"/>
      <c r="L90" s="7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5.75" customHeight="1">
      <c r="A91" s="5"/>
      <c r="B91" s="15"/>
      <c r="C91" s="15"/>
      <c r="D91" s="15"/>
      <c r="E91" s="15"/>
      <c r="F91" s="7"/>
      <c r="G91" s="15"/>
      <c r="H91" s="15"/>
      <c r="I91" s="7"/>
      <c r="J91" s="7"/>
      <c r="K91" s="7"/>
      <c r="L91" s="7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5.75" customHeight="1">
      <c r="A92" s="5"/>
      <c r="B92" s="15"/>
      <c r="C92" s="15"/>
      <c r="D92" s="15"/>
      <c r="E92" s="15"/>
      <c r="F92" s="7"/>
      <c r="G92" s="15"/>
      <c r="H92" s="15"/>
      <c r="I92" s="7"/>
      <c r="J92" s="7"/>
      <c r="K92" s="7"/>
      <c r="L92" s="7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5.75" customHeight="1">
      <c r="A93" s="5"/>
      <c r="B93" s="15"/>
      <c r="C93" s="15"/>
      <c r="D93" s="15"/>
      <c r="E93" s="15"/>
      <c r="F93" s="7"/>
      <c r="G93" s="15"/>
      <c r="H93" s="15"/>
      <c r="I93" s="7"/>
      <c r="J93" s="7"/>
      <c r="K93" s="7"/>
      <c r="L93" s="7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5.75" customHeight="1">
      <c r="A94" s="5"/>
      <c r="B94" s="15"/>
      <c r="C94" s="15"/>
      <c r="D94" s="15"/>
      <c r="E94" s="15"/>
      <c r="F94" s="7"/>
      <c r="G94" s="15"/>
      <c r="H94" s="15"/>
      <c r="I94" s="7"/>
      <c r="J94" s="7"/>
      <c r="K94" s="7"/>
      <c r="L94" s="7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5.75" customHeight="1">
      <c r="A95" s="5"/>
      <c r="B95" s="15"/>
      <c r="C95" s="15"/>
      <c r="D95" s="15"/>
      <c r="E95" s="15"/>
      <c r="F95" s="7"/>
      <c r="G95" s="15"/>
      <c r="H95" s="15"/>
      <c r="I95" s="7"/>
      <c r="J95" s="7"/>
      <c r="K95" s="7"/>
      <c r="L95" s="7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5.75" customHeight="1">
      <c r="A96" s="5"/>
      <c r="B96" s="15"/>
      <c r="C96" s="15"/>
      <c r="D96" s="15"/>
      <c r="E96" s="15"/>
      <c r="F96" s="7"/>
      <c r="G96" s="15"/>
      <c r="H96" s="15"/>
      <c r="I96" s="7"/>
      <c r="J96" s="7"/>
      <c r="K96" s="7"/>
      <c r="L96" s="7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5.75" customHeight="1">
      <c r="A97" s="5"/>
      <c r="B97" s="15"/>
      <c r="C97" s="15"/>
      <c r="D97" s="15"/>
      <c r="E97" s="15"/>
      <c r="F97" s="7"/>
      <c r="G97" s="15"/>
      <c r="H97" s="15"/>
      <c r="I97" s="7"/>
      <c r="J97" s="7"/>
      <c r="K97" s="7"/>
      <c r="L97" s="7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5.75" customHeight="1">
      <c r="A98" s="5"/>
      <c r="B98" s="15"/>
      <c r="C98" s="15"/>
      <c r="D98" s="15"/>
      <c r="E98" s="15"/>
      <c r="F98" s="7"/>
      <c r="G98" s="15"/>
      <c r="H98" s="15"/>
      <c r="I98" s="7"/>
      <c r="J98" s="7"/>
      <c r="K98" s="7"/>
      <c r="L98" s="7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5.75" customHeight="1">
      <c r="A99" s="5"/>
      <c r="B99" s="15"/>
      <c r="C99" s="15"/>
      <c r="D99" s="15"/>
      <c r="E99" s="15"/>
      <c r="F99" s="7"/>
      <c r="G99" s="15"/>
      <c r="H99" s="15"/>
      <c r="I99" s="7"/>
      <c r="J99" s="7"/>
      <c r="K99" s="7"/>
      <c r="L99" s="7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5.75" customHeight="1">
      <c r="A100" s="5"/>
      <c r="B100" s="15"/>
      <c r="C100" s="15"/>
      <c r="D100" s="15"/>
      <c r="E100" s="15"/>
      <c r="F100" s="7"/>
      <c r="G100" s="15"/>
      <c r="H100" s="15"/>
      <c r="I100" s="7"/>
      <c r="J100" s="7"/>
      <c r="K100" s="7"/>
      <c r="L100" s="7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5.75" customHeight="1">
      <c r="A101" s="5"/>
      <c r="B101" s="15"/>
      <c r="C101" s="15"/>
      <c r="D101" s="15"/>
      <c r="E101" s="15"/>
      <c r="F101" s="7"/>
      <c r="G101" s="15"/>
      <c r="H101" s="15"/>
      <c r="I101" s="7"/>
      <c r="J101" s="7"/>
      <c r="K101" s="7"/>
      <c r="L101" s="7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5.75" customHeight="1">
      <c r="A102" s="5"/>
      <c r="B102" s="15"/>
      <c r="C102" s="15"/>
      <c r="D102" s="15"/>
      <c r="E102" s="15"/>
      <c r="F102" s="7"/>
      <c r="G102" s="15"/>
      <c r="H102" s="15"/>
      <c r="I102" s="7"/>
      <c r="J102" s="7"/>
      <c r="K102" s="7"/>
      <c r="L102" s="7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5.75" customHeight="1">
      <c r="A103" s="5"/>
      <c r="B103" s="15"/>
      <c r="C103" s="15"/>
      <c r="D103" s="15"/>
      <c r="E103" s="15"/>
      <c r="F103" s="7"/>
      <c r="G103" s="15"/>
      <c r="H103" s="15"/>
      <c r="I103" s="7"/>
      <c r="J103" s="7"/>
      <c r="K103" s="7"/>
      <c r="L103" s="7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5.75" customHeight="1">
      <c r="A104" s="5"/>
      <c r="B104" s="15"/>
      <c r="C104" s="15"/>
      <c r="D104" s="15"/>
      <c r="E104" s="15"/>
      <c r="F104" s="7"/>
      <c r="G104" s="15"/>
      <c r="H104" s="15"/>
      <c r="I104" s="7"/>
      <c r="J104" s="7"/>
      <c r="K104" s="7"/>
      <c r="L104" s="7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5.75" customHeight="1">
      <c r="A105" s="5"/>
      <c r="B105" s="15"/>
      <c r="C105" s="15"/>
      <c r="D105" s="15"/>
      <c r="E105" s="15"/>
      <c r="F105" s="7"/>
      <c r="G105" s="15"/>
      <c r="H105" s="15"/>
      <c r="I105" s="7"/>
      <c r="J105" s="7"/>
      <c r="K105" s="7"/>
      <c r="L105" s="7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5.75" customHeight="1">
      <c r="A106" s="5"/>
      <c r="B106" s="15"/>
      <c r="C106" s="15"/>
      <c r="D106" s="15"/>
      <c r="E106" s="15"/>
      <c r="F106" s="7"/>
      <c r="G106" s="15"/>
      <c r="H106" s="15"/>
      <c r="I106" s="7"/>
      <c r="J106" s="7"/>
      <c r="K106" s="7"/>
      <c r="L106" s="7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5.75" customHeight="1">
      <c r="A107" s="5"/>
      <c r="B107" s="15"/>
      <c r="C107" s="15"/>
      <c r="D107" s="15"/>
      <c r="E107" s="15"/>
      <c r="F107" s="7"/>
      <c r="G107" s="15"/>
      <c r="H107" s="15"/>
      <c r="I107" s="7"/>
      <c r="J107" s="7"/>
      <c r="K107" s="7"/>
      <c r="L107" s="7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5.75" customHeight="1">
      <c r="A108" s="5"/>
      <c r="B108" s="15"/>
      <c r="C108" s="15"/>
      <c r="D108" s="15"/>
      <c r="E108" s="15"/>
      <c r="F108" s="7"/>
      <c r="G108" s="15"/>
      <c r="H108" s="15"/>
      <c r="I108" s="7"/>
      <c r="J108" s="7"/>
      <c r="K108" s="7"/>
      <c r="L108" s="7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5.75" customHeight="1">
      <c r="A109" s="5"/>
      <c r="B109" s="15"/>
      <c r="C109" s="15"/>
      <c r="D109" s="15"/>
      <c r="E109" s="15"/>
      <c r="F109" s="7"/>
      <c r="G109" s="15"/>
      <c r="H109" s="15"/>
      <c r="I109" s="7"/>
      <c r="J109" s="7"/>
      <c r="K109" s="7"/>
      <c r="L109" s="7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5.75" customHeight="1">
      <c r="A110" s="5"/>
      <c r="B110" s="15"/>
      <c r="C110" s="15"/>
      <c r="D110" s="15"/>
      <c r="E110" s="15"/>
      <c r="F110" s="7"/>
      <c r="G110" s="15"/>
      <c r="H110" s="15"/>
      <c r="I110" s="7"/>
      <c r="J110" s="7"/>
      <c r="K110" s="7"/>
      <c r="L110" s="7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5.75" customHeight="1">
      <c r="A111" s="5"/>
      <c r="B111" s="15"/>
      <c r="C111" s="15"/>
      <c r="D111" s="15"/>
      <c r="E111" s="15"/>
      <c r="F111" s="7"/>
      <c r="G111" s="15"/>
      <c r="H111" s="15"/>
      <c r="I111" s="7"/>
      <c r="J111" s="7"/>
      <c r="K111" s="7"/>
      <c r="L111" s="7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5.75" customHeight="1">
      <c r="A112" s="5"/>
      <c r="B112" s="15"/>
      <c r="C112" s="15"/>
      <c r="D112" s="15"/>
      <c r="E112" s="15"/>
      <c r="F112" s="7"/>
      <c r="G112" s="15"/>
      <c r="H112" s="15"/>
      <c r="I112" s="7"/>
      <c r="J112" s="7"/>
      <c r="K112" s="7"/>
      <c r="L112" s="7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5.75" customHeight="1">
      <c r="A113" s="5"/>
      <c r="B113" s="15"/>
      <c r="C113" s="15"/>
      <c r="D113" s="15"/>
      <c r="E113" s="15"/>
      <c r="F113" s="7"/>
      <c r="G113" s="15"/>
      <c r="H113" s="15"/>
      <c r="I113" s="7"/>
      <c r="J113" s="7"/>
      <c r="K113" s="7"/>
      <c r="L113" s="7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5.75" customHeight="1">
      <c r="A114" s="5"/>
      <c r="B114" s="15"/>
      <c r="C114" s="15"/>
      <c r="D114" s="15"/>
      <c r="E114" s="15"/>
      <c r="F114" s="7"/>
      <c r="G114" s="15"/>
      <c r="H114" s="15"/>
      <c r="I114" s="7"/>
      <c r="J114" s="7"/>
      <c r="K114" s="7"/>
      <c r="L114" s="7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5.75" customHeight="1">
      <c r="A115" s="5"/>
      <c r="B115" s="15"/>
      <c r="C115" s="15"/>
      <c r="D115" s="15"/>
      <c r="E115" s="15"/>
      <c r="F115" s="7"/>
      <c r="G115" s="15"/>
      <c r="H115" s="15"/>
      <c r="I115" s="7"/>
      <c r="J115" s="7"/>
      <c r="K115" s="7"/>
      <c r="L115" s="7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5.75" customHeight="1">
      <c r="A116" s="5"/>
      <c r="B116" s="15"/>
      <c r="C116" s="15"/>
      <c r="D116" s="15"/>
      <c r="E116" s="15"/>
      <c r="F116" s="7"/>
      <c r="G116" s="15"/>
      <c r="H116" s="15"/>
      <c r="I116" s="7"/>
      <c r="J116" s="7"/>
      <c r="K116" s="7"/>
      <c r="L116" s="7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5.75" customHeight="1">
      <c r="A117" s="5"/>
      <c r="B117" s="15"/>
      <c r="C117" s="15"/>
      <c r="D117" s="15"/>
      <c r="E117" s="15"/>
      <c r="F117" s="7"/>
      <c r="G117" s="15"/>
      <c r="H117" s="15"/>
      <c r="I117" s="7"/>
      <c r="J117" s="7"/>
      <c r="K117" s="7"/>
      <c r="L117" s="7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5.75" customHeight="1">
      <c r="A118" s="5"/>
      <c r="B118" s="15"/>
      <c r="C118" s="15"/>
      <c r="D118" s="15"/>
      <c r="E118" s="15"/>
      <c r="F118" s="7"/>
      <c r="G118" s="15"/>
      <c r="H118" s="15"/>
      <c r="I118" s="7"/>
      <c r="J118" s="7"/>
      <c r="K118" s="7"/>
      <c r="L118" s="7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5.75" customHeight="1">
      <c r="A119" s="5"/>
      <c r="B119" s="15"/>
      <c r="C119" s="15"/>
      <c r="D119" s="15"/>
      <c r="E119" s="15"/>
      <c r="F119" s="7"/>
      <c r="G119" s="15"/>
      <c r="H119" s="15"/>
      <c r="I119" s="7"/>
      <c r="J119" s="7"/>
      <c r="K119" s="7"/>
      <c r="L119" s="7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5.75" customHeight="1">
      <c r="A120" s="5"/>
      <c r="B120" s="15"/>
      <c r="C120" s="15"/>
      <c r="D120" s="15"/>
      <c r="E120" s="15"/>
      <c r="F120" s="7"/>
      <c r="G120" s="15"/>
      <c r="H120" s="15"/>
      <c r="I120" s="7"/>
      <c r="J120" s="7"/>
      <c r="K120" s="7"/>
      <c r="L120" s="7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5.75" customHeight="1">
      <c r="A121" s="5"/>
      <c r="B121" s="15"/>
      <c r="C121" s="15"/>
      <c r="D121" s="15"/>
      <c r="E121" s="15"/>
      <c r="F121" s="7"/>
      <c r="G121" s="15"/>
      <c r="H121" s="15"/>
      <c r="I121" s="7"/>
      <c r="J121" s="7"/>
      <c r="K121" s="7"/>
      <c r="L121" s="7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5.75" customHeight="1">
      <c r="A122" s="5"/>
      <c r="B122" s="15"/>
      <c r="C122" s="15"/>
      <c r="D122" s="15"/>
      <c r="E122" s="15"/>
      <c r="F122" s="7"/>
      <c r="G122" s="15"/>
      <c r="H122" s="15"/>
      <c r="I122" s="7"/>
      <c r="J122" s="7"/>
      <c r="K122" s="7"/>
      <c r="L122" s="7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5.75" customHeight="1">
      <c r="A123" s="5"/>
      <c r="B123" s="15"/>
      <c r="C123" s="15"/>
      <c r="D123" s="15"/>
      <c r="E123" s="15"/>
      <c r="F123" s="7"/>
      <c r="G123" s="15"/>
      <c r="H123" s="15"/>
      <c r="I123" s="7"/>
      <c r="J123" s="7"/>
      <c r="K123" s="7"/>
      <c r="L123" s="7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5.75" customHeight="1">
      <c r="A124" s="5"/>
      <c r="B124" s="15"/>
      <c r="C124" s="15"/>
      <c r="D124" s="15"/>
      <c r="E124" s="15"/>
      <c r="F124" s="7"/>
      <c r="G124" s="15"/>
      <c r="H124" s="15"/>
      <c r="I124" s="7"/>
      <c r="J124" s="7"/>
      <c r="K124" s="7"/>
      <c r="L124" s="7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5.75" customHeight="1">
      <c r="A125" s="5"/>
      <c r="B125" s="15"/>
      <c r="C125" s="15"/>
      <c r="D125" s="15"/>
      <c r="E125" s="15"/>
      <c r="F125" s="7"/>
      <c r="G125" s="15"/>
      <c r="H125" s="15"/>
      <c r="I125" s="7"/>
      <c r="J125" s="7"/>
      <c r="K125" s="7"/>
      <c r="L125" s="7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5.75" customHeight="1">
      <c r="A126" s="5"/>
      <c r="B126" s="15"/>
      <c r="C126" s="15"/>
      <c r="D126" s="15"/>
      <c r="E126" s="15"/>
      <c r="F126" s="7"/>
      <c r="G126" s="15"/>
      <c r="H126" s="15"/>
      <c r="I126" s="7"/>
      <c r="J126" s="7"/>
      <c r="K126" s="7"/>
      <c r="L126" s="7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5.75" customHeight="1">
      <c r="A127" s="5"/>
      <c r="B127" s="15"/>
      <c r="C127" s="15"/>
      <c r="D127" s="15"/>
      <c r="E127" s="15"/>
      <c r="F127" s="7"/>
      <c r="G127" s="15"/>
      <c r="H127" s="15"/>
      <c r="I127" s="7"/>
      <c r="J127" s="7"/>
      <c r="K127" s="7"/>
      <c r="L127" s="7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5.75" customHeight="1">
      <c r="A128" s="5"/>
      <c r="B128" s="15"/>
      <c r="C128" s="15"/>
      <c r="D128" s="15"/>
      <c r="E128" s="15"/>
      <c r="F128" s="7"/>
      <c r="G128" s="15"/>
      <c r="H128" s="15"/>
      <c r="I128" s="7"/>
      <c r="J128" s="7"/>
      <c r="K128" s="7"/>
      <c r="L128" s="7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5.75" customHeight="1">
      <c r="A129" s="5"/>
      <c r="B129" s="15"/>
      <c r="C129" s="15"/>
      <c r="D129" s="15"/>
      <c r="E129" s="15"/>
      <c r="F129" s="7"/>
      <c r="G129" s="15"/>
      <c r="H129" s="15"/>
      <c r="I129" s="7"/>
      <c r="J129" s="7"/>
      <c r="K129" s="7"/>
      <c r="L129" s="7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5.75" customHeight="1">
      <c r="A130" s="5"/>
      <c r="B130" s="15"/>
      <c r="C130" s="15"/>
      <c r="D130" s="15"/>
      <c r="E130" s="15"/>
      <c r="F130" s="7"/>
      <c r="G130" s="15"/>
      <c r="H130" s="15"/>
      <c r="I130" s="7"/>
      <c r="J130" s="7"/>
      <c r="K130" s="7"/>
      <c r="L130" s="7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5.75" customHeight="1">
      <c r="A131" s="5"/>
      <c r="B131" s="15"/>
      <c r="C131" s="15"/>
      <c r="D131" s="15"/>
      <c r="E131" s="15"/>
      <c r="F131" s="7"/>
      <c r="G131" s="15"/>
      <c r="H131" s="15"/>
      <c r="I131" s="7"/>
      <c r="J131" s="7"/>
      <c r="K131" s="7"/>
      <c r="L131" s="7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5.75" customHeight="1">
      <c r="A132" s="5"/>
      <c r="B132" s="15"/>
      <c r="C132" s="15"/>
      <c r="D132" s="15"/>
      <c r="E132" s="15"/>
      <c r="F132" s="7"/>
      <c r="G132" s="15"/>
      <c r="H132" s="15"/>
      <c r="I132" s="7"/>
      <c r="J132" s="7"/>
      <c r="K132" s="7"/>
      <c r="L132" s="7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5.75" customHeight="1">
      <c r="A133" s="5"/>
      <c r="B133" s="15"/>
      <c r="C133" s="15"/>
      <c r="D133" s="15"/>
      <c r="E133" s="15"/>
      <c r="F133" s="7"/>
      <c r="G133" s="15"/>
      <c r="H133" s="15"/>
      <c r="I133" s="7"/>
      <c r="J133" s="7"/>
      <c r="K133" s="7"/>
      <c r="L133" s="7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5.75" customHeight="1">
      <c r="A134" s="5"/>
      <c r="B134" s="15"/>
      <c r="C134" s="15"/>
      <c r="D134" s="15"/>
      <c r="E134" s="15"/>
      <c r="F134" s="7"/>
      <c r="G134" s="15"/>
      <c r="H134" s="15"/>
      <c r="I134" s="7"/>
      <c r="J134" s="7"/>
      <c r="K134" s="7"/>
      <c r="L134" s="7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5.75" customHeight="1">
      <c r="A135" s="5"/>
      <c r="B135" s="15"/>
      <c r="C135" s="15"/>
      <c r="D135" s="15"/>
      <c r="E135" s="15"/>
      <c r="F135" s="7"/>
      <c r="G135" s="15"/>
      <c r="H135" s="15"/>
      <c r="I135" s="7"/>
      <c r="J135" s="7"/>
      <c r="K135" s="7"/>
      <c r="L135" s="7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5.75" customHeight="1">
      <c r="A136" s="5"/>
      <c r="B136" s="15"/>
      <c r="C136" s="15"/>
      <c r="D136" s="15"/>
      <c r="E136" s="15"/>
      <c r="F136" s="7"/>
      <c r="G136" s="15"/>
      <c r="H136" s="15"/>
      <c r="I136" s="7"/>
      <c r="J136" s="7"/>
      <c r="K136" s="7"/>
      <c r="L136" s="7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5.75" customHeight="1">
      <c r="A137" s="5"/>
      <c r="B137" s="15"/>
      <c r="C137" s="15"/>
      <c r="D137" s="15"/>
      <c r="E137" s="15"/>
      <c r="F137" s="7"/>
      <c r="G137" s="15"/>
      <c r="H137" s="15"/>
      <c r="I137" s="7"/>
      <c r="J137" s="7"/>
      <c r="K137" s="7"/>
      <c r="L137" s="7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5.75" customHeight="1">
      <c r="A138" s="5"/>
      <c r="B138" s="15"/>
      <c r="C138" s="15"/>
      <c r="D138" s="15"/>
      <c r="E138" s="15"/>
      <c r="F138" s="7"/>
      <c r="G138" s="15"/>
      <c r="H138" s="15"/>
      <c r="I138" s="7"/>
      <c r="J138" s="7"/>
      <c r="K138" s="7"/>
      <c r="L138" s="7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5.75" customHeight="1">
      <c r="A139" s="5"/>
      <c r="B139" s="15"/>
      <c r="C139" s="15"/>
      <c r="D139" s="15"/>
      <c r="E139" s="15"/>
      <c r="F139" s="7"/>
      <c r="G139" s="15"/>
      <c r="H139" s="15"/>
      <c r="I139" s="7"/>
      <c r="J139" s="7"/>
      <c r="K139" s="7"/>
      <c r="L139" s="7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5.75" customHeight="1">
      <c r="A140" s="5"/>
      <c r="B140" s="15"/>
      <c r="C140" s="15"/>
      <c r="D140" s="15"/>
      <c r="E140" s="15"/>
      <c r="F140" s="7"/>
      <c r="G140" s="15"/>
      <c r="H140" s="15"/>
      <c r="I140" s="7"/>
      <c r="J140" s="7"/>
      <c r="K140" s="7"/>
      <c r="L140" s="7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5.75" customHeight="1">
      <c r="A141" s="5"/>
      <c r="B141" s="15"/>
      <c r="C141" s="15"/>
      <c r="D141" s="15"/>
      <c r="E141" s="15"/>
      <c r="F141" s="7"/>
      <c r="G141" s="15"/>
      <c r="H141" s="15"/>
      <c r="I141" s="7"/>
      <c r="J141" s="7"/>
      <c r="K141" s="7"/>
      <c r="L141" s="7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5.75" customHeight="1">
      <c r="A142" s="5"/>
      <c r="B142" s="15"/>
      <c r="C142" s="15"/>
      <c r="D142" s="15"/>
      <c r="E142" s="15"/>
      <c r="F142" s="7"/>
      <c r="G142" s="15"/>
      <c r="H142" s="15"/>
      <c r="I142" s="7"/>
      <c r="J142" s="7"/>
      <c r="K142" s="7"/>
      <c r="L142" s="7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5.75" customHeight="1">
      <c r="A143" s="5"/>
      <c r="B143" s="15"/>
      <c r="C143" s="15"/>
      <c r="D143" s="15"/>
      <c r="E143" s="15"/>
      <c r="F143" s="7"/>
      <c r="G143" s="15"/>
      <c r="H143" s="15"/>
      <c r="I143" s="7"/>
      <c r="J143" s="7"/>
      <c r="K143" s="7"/>
      <c r="L143" s="7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5.75" customHeight="1">
      <c r="A144" s="5"/>
      <c r="B144" s="15"/>
      <c r="C144" s="15"/>
      <c r="D144" s="15"/>
      <c r="E144" s="15"/>
      <c r="F144" s="7"/>
      <c r="G144" s="15"/>
      <c r="H144" s="15"/>
      <c r="I144" s="7"/>
      <c r="J144" s="7"/>
      <c r="K144" s="7"/>
      <c r="L144" s="7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5.75" customHeight="1">
      <c r="A145" s="5"/>
      <c r="B145" s="15"/>
      <c r="C145" s="15"/>
      <c r="D145" s="15"/>
      <c r="E145" s="15"/>
      <c r="F145" s="7"/>
      <c r="G145" s="15"/>
      <c r="H145" s="15"/>
      <c r="I145" s="7"/>
      <c r="J145" s="7"/>
      <c r="K145" s="7"/>
      <c r="L145" s="7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5.75" customHeight="1">
      <c r="A146" s="5"/>
      <c r="B146" s="15"/>
      <c r="C146" s="15"/>
      <c r="D146" s="15"/>
      <c r="E146" s="15"/>
      <c r="F146" s="7"/>
      <c r="G146" s="15"/>
      <c r="H146" s="15"/>
      <c r="I146" s="7"/>
      <c r="J146" s="7"/>
      <c r="K146" s="7"/>
      <c r="L146" s="7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5.75" customHeight="1">
      <c r="A147" s="5"/>
      <c r="B147" s="15"/>
      <c r="C147" s="15"/>
      <c r="D147" s="15"/>
      <c r="E147" s="15"/>
      <c r="F147" s="7"/>
      <c r="G147" s="15"/>
      <c r="H147" s="15"/>
      <c r="I147" s="7"/>
      <c r="J147" s="7"/>
      <c r="K147" s="7"/>
      <c r="L147" s="7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5.75" customHeight="1">
      <c r="A148" s="5"/>
      <c r="B148" s="15"/>
      <c r="C148" s="15"/>
      <c r="D148" s="15"/>
      <c r="E148" s="15"/>
      <c r="F148" s="7"/>
      <c r="G148" s="15"/>
      <c r="H148" s="15"/>
      <c r="I148" s="7"/>
      <c r="J148" s="7"/>
      <c r="K148" s="7"/>
      <c r="L148" s="7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5.75" customHeight="1">
      <c r="A149" s="5"/>
      <c r="B149" s="15"/>
      <c r="C149" s="15"/>
      <c r="D149" s="15"/>
      <c r="E149" s="15"/>
      <c r="F149" s="7"/>
      <c r="G149" s="15"/>
      <c r="H149" s="15"/>
      <c r="I149" s="7"/>
      <c r="J149" s="7"/>
      <c r="K149" s="7"/>
      <c r="L149" s="7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5.75" customHeight="1">
      <c r="A150" s="5"/>
      <c r="B150" s="15"/>
      <c r="C150" s="15"/>
      <c r="D150" s="15"/>
      <c r="E150" s="15"/>
      <c r="F150" s="7"/>
      <c r="G150" s="15"/>
      <c r="H150" s="15"/>
      <c r="I150" s="7"/>
      <c r="J150" s="7"/>
      <c r="K150" s="7"/>
      <c r="L150" s="7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5.75" customHeight="1">
      <c r="A151" s="5"/>
      <c r="B151" s="15"/>
      <c r="C151" s="15"/>
      <c r="D151" s="15"/>
      <c r="E151" s="15"/>
      <c r="F151" s="7"/>
      <c r="G151" s="15"/>
      <c r="H151" s="15"/>
      <c r="I151" s="7"/>
      <c r="J151" s="7"/>
      <c r="K151" s="7"/>
      <c r="L151" s="7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5.75" customHeight="1">
      <c r="A152" s="5"/>
      <c r="B152" s="15"/>
      <c r="C152" s="15"/>
      <c r="D152" s="15"/>
      <c r="E152" s="15"/>
      <c r="F152" s="7"/>
      <c r="G152" s="15"/>
      <c r="H152" s="15"/>
      <c r="I152" s="7"/>
      <c r="J152" s="7"/>
      <c r="K152" s="7"/>
      <c r="L152" s="7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5.75" customHeight="1">
      <c r="A153" s="5"/>
      <c r="B153" s="15"/>
      <c r="C153" s="15"/>
      <c r="D153" s="15"/>
      <c r="E153" s="15"/>
      <c r="F153" s="7"/>
      <c r="G153" s="15"/>
      <c r="H153" s="15"/>
      <c r="I153" s="7"/>
      <c r="J153" s="7"/>
      <c r="K153" s="7"/>
      <c r="L153" s="7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5.75" customHeight="1">
      <c r="A154" s="5"/>
      <c r="B154" s="15"/>
      <c r="C154" s="15"/>
      <c r="D154" s="15"/>
      <c r="E154" s="15"/>
      <c r="F154" s="7"/>
      <c r="G154" s="15"/>
      <c r="H154" s="15"/>
      <c r="I154" s="7"/>
      <c r="J154" s="7"/>
      <c r="K154" s="7"/>
      <c r="L154" s="7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5.75" customHeight="1">
      <c r="A155" s="5"/>
      <c r="B155" s="15"/>
      <c r="C155" s="15"/>
      <c r="D155" s="15"/>
      <c r="E155" s="15"/>
      <c r="F155" s="7"/>
      <c r="G155" s="15"/>
      <c r="H155" s="15"/>
      <c r="I155" s="7"/>
      <c r="J155" s="7"/>
      <c r="K155" s="7"/>
      <c r="L155" s="7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5.75" customHeight="1">
      <c r="A156" s="5"/>
      <c r="B156" s="15"/>
      <c r="C156" s="15"/>
      <c r="D156" s="15"/>
      <c r="E156" s="15"/>
      <c r="F156" s="7"/>
      <c r="G156" s="15"/>
      <c r="H156" s="15"/>
      <c r="I156" s="7"/>
      <c r="J156" s="7"/>
      <c r="K156" s="7"/>
      <c r="L156" s="7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5.75" customHeight="1">
      <c r="A157" s="5"/>
      <c r="B157" s="15"/>
      <c r="C157" s="15"/>
      <c r="D157" s="15"/>
      <c r="E157" s="15"/>
      <c r="F157" s="7"/>
      <c r="G157" s="15"/>
      <c r="H157" s="15"/>
      <c r="I157" s="7"/>
      <c r="J157" s="7"/>
      <c r="K157" s="7"/>
      <c r="L157" s="7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5.75" customHeight="1">
      <c r="A158" s="5"/>
      <c r="B158" s="15"/>
      <c r="C158" s="15"/>
      <c r="D158" s="15"/>
      <c r="E158" s="15"/>
      <c r="F158" s="7"/>
      <c r="G158" s="15"/>
      <c r="H158" s="15"/>
      <c r="I158" s="7"/>
      <c r="J158" s="7"/>
      <c r="K158" s="7"/>
      <c r="L158" s="7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5.75" customHeight="1">
      <c r="A159" s="5"/>
      <c r="B159" s="15"/>
      <c r="C159" s="15"/>
      <c r="D159" s="15"/>
      <c r="E159" s="15"/>
      <c r="F159" s="7"/>
      <c r="G159" s="15"/>
      <c r="H159" s="15"/>
      <c r="I159" s="7"/>
      <c r="J159" s="7"/>
      <c r="K159" s="7"/>
      <c r="L159" s="7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5.75" customHeight="1">
      <c r="A160" s="5"/>
      <c r="B160" s="15"/>
      <c r="C160" s="15"/>
      <c r="D160" s="15"/>
      <c r="E160" s="15"/>
      <c r="F160" s="7"/>
      <c r="G160" s="15"/>
      <c r="H160" s="15"/>
      <c r="I160" s="7"/>
      <c r="J160" s="7"/>
      <c r="K160" s="7"/>
      <c r="L160" s="7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5.75" customHeight="1">
      <c r="A161" s="5"/>
      <c r="B161" s="15"/>
      <c r="C161" s="15"/>
      <c r="D161" s="15"/>
      <c r="E161" s="15"/>
      <c r="F161" s="7"/>
      <c r="G161" s="15"/>
      <c r="H161" s="15"/>
      <c r="I161" s="7"/>
      <c r="J161" s="7"/>
      <c r="K161" s="7"/>
      <c r="L161" s="7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5.75" customHeight="1">
      <c r="A162" s="5"/>
      <c r="B162" s="15"/>
      <c r="C162" s="15"/>
      <c r="D162" s="15"/>
      <c r="E162" s="15"/>
      <c r="F162" s="7"/>
      <c r="G162" s="15"/>
      <c r="H162" s="15"/>
      <c r="I162" s="7"/>
      <c r="J162" s="7"/>
      <c r="K162" s="7"/>
      <c r="L162" s="7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5.75" customHeight="1">
      <c r="A163" s="5"/>
      <c r="B163" s="15"/>
      <c r="C163" s="15"/>
      <c r="D163" s="15"/>
      <c r="E163" s="15"/>
      <c r="F163" s="7"/>
      <c r="G163" s="15"/>
      <c r="H163" s="15"/>
      <c r="I163" s="7"/>
      <c r="J163" s="7"/>
      <c r="K163" s="7"/>
      <c r="L163" s="7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5.75" customHeight="1">
      <c r="A164" s="5"/>
      <c r="B164" s="15"/>
      <c r="C164" s="15"/>
      <c r="D164" s="15"/>
      <c r="E164" s="15"/>
      <c r="F164" s="7"/>
      <c r="G164" s="15"/>
      <c r="H164" s="15"/>
      <c r="I164" s="7"/>
      <c r="J164" s="7"/>
      <c r="K164" s="7"/>
      <c r="L164" s="7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5.75" customHeight="1">
      <c r="A165" s="5"/>
      <c r="B165" s="15"/>
      <c r="C165" s="15"/>
      <c r="D165" s="15"/>
      <c r="E165" s="15"/>
      <c r="F165" s="7"/>
      <c r="G165" s="15"/>
      <c r="H165" s="15"/>
      <c r="I165" s="7"/>
      <c r="J165" s="7"/>
      <c r="K165" s="7"/>
      <c r="L165" s="7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5.75" customHeight="1">
      <c r="A166" s="5"/>
      <c r="B166" s="15"/>
      <c r="C166" s="15"/>
      <c r="D166" s="15"/>
      <c r="E166" s="15"/>
      <c r="F166" s="7"/>
      <c r="G166" s="15"/>
      <c r="H166" s="15"/>
      <c r="I166" s="7"/>
      <c r="J166" s="7"/>
      <c r="K166" s="7"/>
      <c r="L166" s="7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5.75" customHeight="1">
      <c r="A167" s="5"/>
      <c r="B167" s="15"/>
      <c r="C167" s="15"/>
      <c r="D167" s="15"/>
      <c r="E167" s="15"/>
      <c r="F167" s="7"/>
      <c r="G167" s="15"/>
      <c r="H167" s="15"/>
      <c r="I167" s="7"/>
      <c r="J167" s="7"/>
      <c r="K167" s="7"/>
      <c r="L167" s="7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5.75" customHeight="1">
      <c r="A168" s="5"/>
      <c r="B168" s="15"/>
      <c r="C168" s="15"/>
      <c r="D168" s="15"/>
      <c r="E168" s="15"/>
      <c r="F168" s="7"/>
      <c r="G168" s="15"/>
      <c r="H168" s="15"/>
      <c r="I168" s="7"/>
      <c r="J168" s="7"/>
      <c r="K168" s="7"/>
      <c r="L168" s="7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5.75" customHeight="1">
      <c r="A169" s="5"/>
      <c r="B169" s="15"/>
      <c r="C169" s="15"/>
      <c r="D169" s="15"/>
      <c r="E169" s="15"/>
      <c r="F169" s="7"/>
      <c r="G169" s="15"/>
      <c r="H169" s="15"/>
      <c r="I169" s="7"/>
      <c r="J169" s="7"/>
      <c r="K169" s="7"/>
      <c r="L169" s="7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5.75" customHeight="1">
      <c r="A170" s="5"/>
      <c r="B170" s="15"/>
      <c r="C170" s="15"/>
      <c r="D170" s="15"/>
      <c r="E170" s="15"/>
      <c r="F170" s="7"/>
      <c r="G170" s="15"/>
      <c r="H170" s="15"/>
      <c r="I170" s="7"/>
      <c r="J170" s="7"/>
      <c r="K170" s="7"/>
      <c r="L170" s="7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5.75" customHeight="1">
      <c r="A171" s="5"/>
      <c r="B171" s="15"/>
      <c r="C171" s="15"/>
      <c r="D171" s="15"/>
      <c r="E171" s="15"/>
      <c r="F171" s="7"/>
      <c r="G171" s="15"/>
      <c r="H171" s="15"/>
      <c r="I171" s="7"/>
      <c r="J171" s="7"/>
      <c r="K171" s="7"/>
      <c r="L171" s="7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5.75" customHeight="1">
      <c r="A172" s="5"/>
      <c r="B172" s="15"/>
      <c r="C172" s="15"/>
      <c r="D172" s="15"/>
      <c r="E172" s="15"/>
      <c r="F172" s="7"/>
      <c r="G172" s="15"/>
      <c r="H172" s="15"/>
      <c r="I172" s="7"/>
      <c r="J172" s="7"/>
      <c r="K172" s="7"/>
      <c r="L172" s="7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5.75" customHeight="1">
      <c r="A173" s="5"/>
      <c r="B173" s="15"/>
      <c r="C173" s="15"/>
      <c r="D173" s="15"/>
      <c r="E173" s="15"/>
      <c r="F173" s="7"/>
      <c r="G173" s="15"/>
      <c r="H173" s="15"/>
      <c r="I173" s="7"/>
      <c r="J173" s="7"/>
      <c r="K173" s="7"/>
      <c r="L173" s="7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5.75" customHeight="1">
      <c r="A174" s="5"/>
      <c r="B174" s="15"/>
      <c r="C174" s="15"/>
      <c r="D174" s="15"/>
      <c r="E174" s="15"/>
      <c r="F174" s="7"/>
      <c r="G174" s="15"/>
      <c r="H174" s="15"/>
      <c r="I174" s="7"/>
      <c r="J174" s="7"/>
      <c r="K174" s="7"/>
      <c r="L174" s="7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5.75" customHeight="1">
      <c r="A175" s="5"/>
      <c r="B175" s="15"/>
      <c r="C175" s="15"/>
      <c r="D175" s="15"/>
      <c r="E175" s="15"/>
      <c r="F175" s="7"/>
      <c r="G175" s="15"/>
      <c r="H175" s="15"/>
      <c r="I175" s="7"/>
      <c r="J175" s="7"/>
      <c r="K175" s="7"/>
      <c r="L175" s="7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5.75" customHeight="1">
      <c r="A176" s="5"/>
      <c r="B176" s="15"/>
      <c r="C176" s="15"/>
      <c r="D176" s="15"/>
      <c r="E176" s="15"/>
      <c r="F176" s="7"/>
      <c r="G176" s="15"/>
      <c r="H176" s="15"/>
      <c r="I176" s="7"/>
      <c r="J176" s="7"/>
      <c r="K176" s="7"/>
      <c r="L176" s="7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5.75" customHeight="1">
      <c r="A177" s="5"/>
      <c r="B177" s="15"/>
      <c r="C177" s="15"/>
      <c r="D177" s="15"/>
      <c r="E177" s="15"/>
      <c r="F177" s="7"/>
      <c r="G177" s="15"/>
      <c r="H177" s="15"/>
      <c r="I177" s="7"/>
      <c r="J177" s="7"/>
      <c r="K177" s="7"/>
      <c r="L177" s="7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5.75" customHeight="1">
      <c r="A178" s="5"/>
      <c r="B178" s="15"/>
      <c r="C178" s="15"/>
      <c r="D178" s="15"/>
      <c r="E178" s="15"/>
      <c r="F178" s="7"/>
      <c r="G178" s="15"/>
      <c r="H178" s="15"/>
      <c r="I178" s="7"/>
      <c r="J178" s="7"/>
      <c r="K178" s="7"/>
      <c r="L178" s="7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5.75" customHeight="1">
      <c r="A179" s="5"/>
      <c r="B179" s="15"/>
      <c r="C179" s="15"/>
      <c r="D179" s="15"/>
      <c r="E179" s="15"/>
      <c r="F179" s="7"/>
      <c r="G179" s="15"/>
      <c r="H179" s="15"/>
      <c r="I179" s="7"/>
      <c r="J179" s="7"/>
      <c r="K179" s="7"/>
      <c r="L179" s="7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5.75" customHeight="1">
      <c r="A180" s="5"/>
      <c r="B180" s="15"/>
      <c r="C180" s="15"/>
      <c r="D180" s="15"/>
      <c r="E180" s="15"/>
      <c r="F180" s="7"/>
      <c r="G180" s="15"/>
      <c r="H180" s="15"/>
      <c r="I180" s="7"/>
      <c r="J180" s="7"/>
      <c r="K180" s="7"/>
      <c r="L180" s="7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5.75" customHeight="1">
      <c r="A181" s="5"/>
      <c r="B181" s="15"/>
      <c r="C181" s="15"/>
      <c r="D181" s="15"/>
      <c r="E181" s="15"/>
      <c r="F181" s="7"/>
      <c r="G181" s="15"/>
      <c r="H181" s="15"/>
      <c r="I181" s="7"/>
      <c r="J181" s="7"/>
      <c r="K181" s="7"/>
      <c r="L181" s="7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5.75" customHeight="1">
      <c r="A182" s="5"/>
      <c r="B182" s="15"/>
      <c r="C182" s="15"/>
      <c r="D182" s="15"/>
      <c r="E182" s="15"/>
      <c r="F182" s="7"/>
      <c r="G182" s="15"/>
      <c r="H182" s="15"/>
      <c r="I182" s="7"/>
      <c r="J182" s="7"/>
      <c r="K182" s="7"/>
      <c r="L182" s="7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5.75" customHeight="1">
      <c r="A183" s="5"/>
      <c r="B183" s="15"/>
      <c r="C183" s="15"/>
      <c r="D183" s="15"/>
      <c r="E183" s="15"/>
      <c r="F183" s="7"/>
      <c r="G183" s="15"/>
      <c r="H183" s="15"/>
      <c r="I183" s="7"/>
      <c r="J183" s="7"/>
      <c r="K183" s="7"/>
      <c r="L183" s="7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5.75" customHeight="1">
      <c r="A184" s="5"/>
      <c r="B184" s="15"/>
      <c r="C184" s="15"/>
      <c r="D184" s="15"/>
      <c r="E184" s="15"/>
      <c r="F184" s="7"/>
      <c r="G184" s="15"/>
      <c r="H184" s="15"/>
      <c r="I184" s="7"/>
      <c r="J184" s="7"/>
      <c r="K184" s="7"/>
      <c r="L184" s="7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5.75" customHeight="1">
      <c r="A185" s="5"/>
      <c r="B185" s="15"/>
      <c r="C185" s="15"/>
      <c r="D185" s="15"/>
      <c r="E185" s="15"/>
      <c r="F185" s="7"/>
      <c r="G185" s="15"/>
      <c r="H185" s="15"/>
      <c r="I185" s="7"/>
      <c r="J185" s="7"/>
      <c r="K185" s="7"/>
      <c r="L185" s="7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5.75" customHeight="1">
      <c r="A186" s="5"/>
      <c r="B186" s="15"/>
      <c r="C186" s="15"/>
      <c r="D186" s="15"/>
      <c r="E186" s="15"/>
      <c r="F186" s="7"/>
      <c r="G186" s="15"/>
      <c r="H186" s="15"/>
      <c r="I186" s="7"/>
      <c r="J186" s="7"/>
      <c r="K186" s="7"/>
      <c r="L186" s="7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5.75" customHeight="1">
      <c r="A187" s="5"/>
      <c r="B187" s="15"/>
      <c r="C187" s="15"/>
      <c r="D187" s="15"/>
      <c r="E187" s="15"/>
      <c r="F187" s="7"/>
      <c r="G187" s="15"/>
      <c r="H187" s="15"/>
      <c r="I187" s="7"/>
      <c r="J187" s="7"/>
      <c r="K187" s="7"/>
      <c r="L187" s="7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5.75" customHeight="1">
      <c r="A188" s="5"/>
      <c r="B188" s="15"/>
      <c r="C188" s="15"/>
      <c r="D188" s="15"/>
      <c r="E188" s="15"/>
      <c r="F188" s="7"/>
      <c r="G188" s="15"/>
      <c r="H188" s="15"/>
      <c r="I188" s="7"/>
      <c r="J188" s="7"/>
      <c r="K188" s="7"/>
      <c r="L188" s="7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5.75" customHeight="1">
      <c r="A189" s="5"/>
      <c r="B189" s="15"/>
      <c r="C189" s="15"/>
      <c r="D189" s="15"/>
      <c r="E189" s="15"/>
      <c r="F189" s="7"/>
      <c r="G189" s="15"/>
      <c r="H189" s="15"/>
      <c r="I189" s="7"/>
      <c r="J189" s="7"/>
      <c r="K189" s="7"/>
      <c r="L189" s="7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5.75" customHeight="1">
      <c r="A190" s="5"/>
      <c r="B190" s="15"/>
      <c r="C190" s="15"/>
      <c r="D190" s="15"/>
      <c r="E190" s="15"/>
      <c r="F190" s="7"/>
      <c r="G190" s="15"/>
      <c r="H190" s="15"/>
      <c r="I190" s="7"/>
      <c r="J190" s="7"/>
      <c r="K190" s="7"/>
      <c r="L190" s="7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5.75" customHeight="1">
      <c r="A191" s="5"/>
      <c r="B191" s="15"/>
      <c r="C191" s="15"/>
      <c r="D191" s="15"/>
      <c r="E191" s="15"/>
      <c r="F191" s="7"/>
      <c r="G191" s="15"/>
      <c r="H191" s="15"/>
      <c r="I191" s="7"/>
      <c r="J191" s="7"/>
      <c r="K191" s="7"/>
      <c r="L191" s="7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5.75" customHeight="1">
      <c r="A192" s="5"/>
      <c r="B192" s="15"/>
      <c r="C192" s="15"/>
      <c r="D192" s="15"/>
      <c r="E192" s="15"/>
      <c r="F192" s="7"/>
      <c r="G192" s="15"/>
      <c r="H192" s="15"/>
      <c r="I192" s="7"/>
      <c r="J192" s="7"/>
      <c r="K192" s="7"/>
      <c r="L192" s="7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5.75" customHeight="1">
      <c r="A193" s="5"/>
      <c r="B193" s="15"/>
      <c r="C193" s="15"/>
      <c r="D193" s="15"/>
      <c r="E193" s="15"/>
      <c r="F193" s="7"/>
      <c r="G193" s="15"/>
      <c r="H193" s="15"/>
      <c r="I193" s="7"/>
      <c r="J193" s="7"/>
      <c r="K193" s="7"/>
      <c r="L193" s="7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5.75" customHeight="1">
      <c r="A194" s="5"/>
      <c r="B194" s="15"/>
      <c r="C194" s="15"/>
      <c r="D194" s="15"/>
      <c r="E194" s="15"/>
      <c r="F194" s="7"/>
      <c r="G194" s="15"/>
      <c r="H194" s="15"/>
      <c r="I194" s="7"/>
      <c r="J194" s="7"/>
      <c r="K194" s="7"/>
      <c r="L194" s="7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5.75" customHeight="1">
      <c r="A195" s="5"/>
      <c r="B195" s="15"/>
      <c r="C195" s="15"/>
      <c r="D195" s="15"/>
      <c r="E195" s="15"/>
      <c r="F195" s="7"/>
      <c r="G195" s="15"/>
      <c r="H195" s="15"/>
      <c r="I195" s="7"/>
      <c r="J195" s="7"/>
      <c r="K195" s="7"/>
      <c r="L195" s="7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5.75" customHeight="1">
      <c r="A196" s="5"/>
      <c r="B196" s="15"/>
      <c r="C196" s="15"/>
      <c r="D196" s="15"/>
      <c r="E196" s="15"/>
      <c r="F196" s="7"/>
      <c r="G196" s="15"/>
      <c r="H196" s="15"/>
      <c r="I196" s="7"/>
      <c r="J196" s="7"/>
      <c r="K196" s="7"/>
      <c r="L196" s="7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5.75" customHeight="1">
      <c r="A197" s="5"/>
      <c r="B197" s="15"/>
      <c r="C197" s="15"/>
      <c r="D197" s="15"/>
      <c r="E197" s="15"/>
      <c r="F197" s="7"/>
      <c r="G197" s="15"/>
      <c r="H197" s="15"/>
      <c r="I197" s="7"/>
      <c r="J197" s="7"/>
      <c r="K197" s="7"/>
      <c r="L197" s="7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5.75" customHeight="1">
      <c r="A198" s="5"/>
      <c r="B198" s="15"/>
      <c r="C198" s="15"/>
      <c r="D198" s="15"/>
      <c r="E198" s="15"/>
      <c r="F198" s="7"/>
      <c r="G198" s="15"/>
      <c r="H198" s="15"/>
      <c r="I198" s="7"/>
      <c r="J198" s="7"/>
      <c r="K198" s="7"/>
      <c r="L198" s="7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5.75" customHeight="1">
      <c r="A199" s="5"/>
      <c r="B199" s="15"/>
      <c r="C199" s="15"/>
      <c r="D199" s="15"/>
      <c r="E199" s="15"/>
      <c r="F199" s="7"/>
      <c r="G199" s="15"/>
      <c r="H199" s="15"/>
      <c r="I199" s="7"/>
      <c r="J199" s="7"/>
      <c r="K199" s="7"/>
      <c r="L199" s="7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5.75" customHeight="1">
      <c r="A200" s="5"/>
      <c r="B200" s="15"/>
      <c r="C200" s="15"/>
      <c r="D200" s="15"/>
      <c r="E200" s="15"/>
      <c r="F200" s="7"/>
      <c r="G200" s="15"/>
      <c r="H200" s="15"/>
      <c r="I200" s="7"/>
      <c r="J200" s="7"/>
      <c r="K200" s="7"/>
      <c r="L200" s="7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5.75" customHeight="1">
      <c r="A201" s="5"/>
      <c r="B201" s="15"/>
      <c r="C201" s="15"/>
      <c r="D201" s="15"/>
      <c r="E201" s="15"/>
      <c r="F201" s="7"/>
      <c r="G201" s="15"/>
      <c r="H201" s="15"/>
      <c r="I201" s="7"/>
      <c r="J201" s="7"/>
      <c r="K201" s="7"/>
      <c r="L201" s="7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5.75" customHeight="1">
      <c r="A202" s="5"/>
      <c r="B202" s="15"/>
      <c r="C202" s="15"/>
      <c r="D202" s="15"/>
      <c r="E202" s="15"/>
      <c r="F202" s="7"/>
      <c r="G202" s="15"/>
      <c r="H202" s="15"/>
      <c r="I202" s="7"/>
      <c r="J202" s="7"/>
      <c r="K202" s="7"/>
      <c r="L202" s="7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5.75" customHeight="1">
      <c r="A203" s="5"/>
      <c r="B203" s="15"/>
      <c r="C203" s="15"/>
      <c r="D203" s="15"/>
      <c r="E203" s="15"/>
      <c r="F203" s="7"/>
      <c r="G203" s="15"/>
      <c r="H203" s="15"/>
      <c r="I203" s="7"/>
      <c r="J203" s="7"/>
      <c r="K203" s="7"/>
      <c r="L203" s="7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5.75" customHeight="1">
      <c r="A204" s="5"/>
      <c r="B204" s="15"/>
      <c r="C204" s="15"/>
      <c r="D204" s="15"/>
      <c r="E204" s="15"/>
      <c r="F204" s="7"/>
      <c r="G204" s="15"/>
      <c r="H204" s="15"/>
      <c r="I204" s="7"/>
      <c r="J204" s="7"/>
      <c r="K204" s="7"/>
      <c r="L204" s="7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5.75" customHeight="1">
      <c r="A205" s="5"/>
      <c r="B205" s="15"/>
      <c r="C205" s="15"/>
      <c r="D205" s="15"/>
      <c r="E205" s="15"/>
      <c r="F205" s="7"/>
      <c r="G205" s="15"/>
      <c r="H205" s="15"/>
      <c r="I205" s="7"/>
      <c r="J205" s="7"/>
      <c r="K205" s="7"/>
      <c r="L205" s="7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5.75" customHeight="1">
      <c r="A206" s="5"/>
      <c r="B206" s="15"/>
      <c r="C206" s="15"/>
      <c r="D206" s="15"/>
      <c r="E206" s="15"/>
      <c r="F206" s="7"/>
      <c r="G206" s="15"/>
      <c r="H206" s="15"/>
      <c r="I206" s="7"/>
      <c r="J206" s="7"/>
      <c r="K206" s="7"/>
      <c r="L206" s="7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5.75" customHeight="1">
      <c r="A207" s="5"/>
      <c r="B207" s="15"/>
      <c r="C207" s="15"/>
      <c r="D207" s="15"/>
      <c r="E207" s="15"/>
      <c r="F207" s="7"/>
      <c r="G207" s="15"/>
      <c r="H207" s="15"/>
      <c r="I207" s="7"/>
      <c r="J207" s="7"/>
      <c r="K207" s="7"/>
      <c r="L207" s="7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5.75" customHeight="1">
      <c r="A208" s="5"/>
      <c r="B208" s="15"/>
      <c r="C208" s="15"/>
      <c r="D208" s="15"/>
      <c r="E208" s="15"/>
      <c r="F208" s="7"/>
      <c r="G208" s="15"/>
      <c r="H208" s="15"/>
      <c r="I208" s="7"/>
      <c r="J208" s="7"/>
      <c r="K208" s="7"/>
      <c r="L208" s="7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5.75" customHeight="1">
      <c r="A209" s="5"/>
      <c r="B209" s="15"/>
      <c r="C209" s="15"/>
      <c r="D209" s="15"/>
      <c r="E209" s="15"/>
      <c r="F209" s="7"/>
      <c r="G209" s="15"/>
      <c r="H209" s="15"/>
      <c r="I209" s="7"/>
      <c r="J209" s="7"/>
      <c r="K209" s="7"/>
      <c r="L209" s="7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5.75" customHeight="1">
      <c r="A210" s="5"/>
      <c r="B210" s="15"/>
      <c r="C210" s="15"/>
      <c r="D210" s="15"/>
      <c r="E210" s="15"/>
      <c r="F210" s="7"/>
      <c r="G210" s="15"/>
      <c r="H210" s="15"/>
      <c r="I210" s="7"/>
      <c r="J210" s="7"/>
      <c r="K210" s="7"/>
      <c r="L210" s="7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5.75" customHeight="1">
      <c r="A211" s="5"/>
      <c r="B211" s="15"/>
      <c r="C211" s="15"/>
      <c r="D211" s="15"/>
      <c r="E211" s="15"/>
      <c r="F211" s="7"/>
      <c r="G211" s="15"/>
      <c r="H211" s="15"/>
      <c r="I211" s="7"/>
      <c r="J211" s="7"/>
      <c r="K211" s="7"/>
      <c r="L211" s="7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5.75" customHeight="1">
      <c r="A212" s="5"/>
      <c r="B212" s="15"/>
      <c r="C212" s="15"/>
      <c r="D212" s="15"/>
      <c r="E212" s="15"/>
      <c r="F212" s="7"/>
      <c r="G212" s="15"/>
      <c r="H212" s="15"/>
      <c r="I212" s="7"/>
      <c r="J212" s="7"/>
      <c r="K212" s="7"/>
      <c r="L212" s="7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5.75" customHeight="1">
      <c r="A213" s="5"/>
      <c r="B213" s="15"/>
      <c r="C213" s="15"/>
      <c r="D213" s="15"/>
      <c r="E213" s="15"/>
      <c r="F213" s="7"/>
      <c r="G213" s="15"/>
      <c r="H213" s="15"/>
      <c r="I213" s="7"/>
      <c r="J213" s="7"/>
      <c r="K213" s="7"/>
      <c r="L213" s="7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5.75" customHeight="1">
      <c r="A214" s="5"/>
      <c r="B214" s="15"/>
      <c r="C214" s="15"/>
      <c r="D214" s="15"/>
      <c r="E214" s="15"/>
      <c r="F214" s="7"/>
      <c r="G214" s="15"/>
      <c r="H214" s="15"/>
      <c r="I214" s="7"/>
      <c r="J214" s="7"/>
      <c r="K214" s="7"/>
      <c r="L214" s="7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5.75" customHeight="1">
      <c r="A215" s="5"/>
      <c r="B215" s="15"/>
      <c r="C215" s="15"/>
      <c r="D215" s="15"/>
      <c r="E215" s="15"/>
      <c r="F215" s="7"/>
      <c r="G215" s="15"/>
      <c r="H215" s="15"/>
      <c r="I215" s="7"/>
      <c r="J215" s="7"/>
      <c r="K215" s="7"/>
      <c r="L215" s="7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5.75" customHeight="1">
      <c r="A216" s="5"/>
      <c r="B216" s="15"/>
      <c r="C216" s="15"/>
      <c r="D216" s="15"/>
      <c r="E216" s="15"/>
      <c r="F216" s="7"/>
      <c r="G216" s="15"/>
      <c r="H216" s="15"/>
      <c r="I216" s="7"/>
      <c r="J216" s="7"/>
      <c r="K216" s="7"/>
      <c r="L216" s="7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5.75" customHeight="1">
      <c r="A217" s="5"/>
      <c r="B217" s="15"/>
      <c r="C217" s="15"/>
      <c r="D217" s="15"/>
      <c r="E217" s="15"/>
      <c r="F217" s="7"/>
      <c r="G217" s="15"/>
      <c r="H217" s="15"/>
      <c r="I217" s="7"/>
      <c r="J217" s="7"/>
      <c r="K217" s="7"/>
      <c r="L217" s="7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5.75" customHeight="1">
      <c r="A218" s="5"/>
      <c r="B218" s="15"/>
      <c r="C218" s="15"/>
      <c r="D218" s="15"/>
      <c r="E218" s="15"/>
      <c r="F218" s="7"/>
      <c r="G218" s="15"/>
      <c r="H218" s="15"/>
      <c r="I218" s="7"/>
      <c r="J218" s="7"/>
      <c r="K218" s="7"/>
      <c r="L218" s="7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5.75" customHeight="1">
      <c r="A219" s="5"/>
      <c r="B219" s="15"/>
      <c r="C219" s="15"/>
      <c r="D219" s="15"/>
      <c r="E219" s="15"/>
      <c r="F219" s="7"/>
      <c r="G219" s="15"/>
      <c r="H219" s="15"/>
      <c r="I219" s="7"/>
      <c r="J219" s="7"/>
      <c r="K219" s="7"/>
      <c r="L219" s="7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5.75" customHeight="1">
      <c r="A220" s="5"/>
      <c r="B220" s="15"/>
      <c r="C220" s="15"/>
      <c r="D220" s="15"/>
      <c r="E220" s="15"/>
      <c r="F220" s="7"/>
      <c r="G220" s="15"/>
      <c r="H220" s="15"/>
      <c r="I220" s="7"/>
      <c r="J220" s="7"/>
      <c r="K220" s="7"/>
      <c r="L220" s="7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5.75" customHeight="1">
      <c r="A221" s="5"/>
      <c r="B221" s="15"/>
      <c r="C221" s="15"/>
      <c r="D221" s="15"/>
      <c r="E221" s="15"/>
      <c r="F221" s="7"/>
      <c r="G221" s="15"/>
      <c r="H221" s="15"/>
      <c r="I221" s="7"/>
      <c r="J221" s="7"/>
      <c r="K221" s="7"/>
      <c r="L221" s="7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5.75" customHeight="1">
      <c r="A222" s="5"/>
      <c r="B222" s="15"/>
      <c r="C222" s="15"/>
      <c r="D222" s="15"/>
      <c r="E222" s="15"/>
      <c r="F222" s="7"/>
      <c r="G222" s="15"/>
      <c r="H222" s="15"/>
      <c r="I222" s="7"/>
      <c r="J222" s="7"/>
      <c r="K222" s="7"/>
      <c r="L222" s="7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5.75" customHeight="1">
      <c r="A223" s="5"/>
      <c r="B223" s="15"/>
      <c r="C223" s="15"/>
      <c r="D223" s="15"/>
      <c r="E223" s="15"/>
      <c r="F223" s="7"/>
      <c r="G223" s="15"/>
      <c r="H223" s="15"/>
      <c r="I223" s="7"/>
      <c r="J223" s="7"/>
      <c r="K223" s="7"/>
      <c r="L223" s="7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5.75" customHeight="1">
      <c r="A224" s="5"/>
      <c r="B224" s="15"/>
      <c r="C224" s="15"/>
      <c r="D224" s="15"/>
      <c r="E224" s="15"/>
      <c r="F224" s="7"/>
      <c r="G224" s="15"/>
      <c r="H224" s="15"/>
      <c r="I224" s="7"/>
      <c r="J224" s="7"/>
      <c r="K224" s="7"/>
      <c r="L224" s="7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5.75" customHeight="1">
      <c r="A225" s="5"/>
      <c r="B225" s="15"/>
      <c r="C225" s="15"/>
      <c r="D225" s="15"/>
      <c r="E225" s="15"/>
      <c r="F225" s="7"/>
      <c r="G225" s="15"/>
      <c r="H225" s="15"/>
      <c r="I225" s="7"/>
      <c r="J225" s="7"/>
      <c r="K225" s="7"/>
      <c r="L225" s="7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5.75" customHeight="1">
      <c r="A226" s="5"/>
      <c r="B226" s="15"/>
      <c r="C226" s="15"/>
      <c r="D226" s="15"/>
      <c r="E226" s="15"/>
      <c r="F226" s="7"/>
      <c r="G226" s="15"/>
      <c r="H226" s="15"/>
      <c r="I226" s="7"/>
      <c r="J226" s="7"/>
      <c r="K226" s="7"/>
      <c r="L226" s="7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5.75" customHeight="1">
      <c r="A227" s="5"/>
      <c r="B227" s="15"/>
      <c r="C227" s="15"/>
      <c r="D227" s="15"/>
      <c r="E227" s="15"/>
      <c r="F227" s="7"/>
      <c r="G227" s="15"/>
      <c r="H227" s="15"/>
      <c r="I227" s="7"/>
      <c r="J227" s="7"/>
      <c r="K227" s="7"/>
      <c r="L227" s="7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5.75" customHeight="1">
      <c r="A228" s="5"/>
      <c r="B228" s="15"/>
      <c r="C228" s="15"/>
      <c r="D228" s="15"/>
      <c r="E228" s="15"/>
      <c r="F228" s="7"/>
      <c r="G228" s="15"/>
      <c r="H228" s="15"/>
      <c r="I228" s="7"/>
      <c r="J228" s="7"/>
      <c r="K228" s="7"/>
      <c r="L228" s="7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5.75" customHeight="1">
      <c r="A229" s="5"/>
      <c r="B229" s="15"/>
      <c r="C229" s="15"/>
      <c r="D229" s="15"/>
      <c r="E229" s="15"/>
      <c r="F229" s="7"/>
      <c r="G229" s="15"/>
      <c r="H229" s="15"/>
      <c r="I229" s="7"/>
      <c r="J229" s="7"/>
      <c r="K229" s="7"/>
      <c r="L229" s="7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5.75" customHeight="1">
      <c r="A230" s="5"/>
      <c r="B230" s="15"/>
      <c r="C230" s="15"/>
      <c r="D230" s="15"/>
      <c r="E230" s="15"/>
      <c r="F230" s="7"/>
      <c r="G230" s="15"/>
      <c r="H230" s="15"/>
      <c r="I230" s="7"/>
      <c r="J230" s="7"/>
      <c r="K230" s="7"/>
      <c r="L230" s="7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5.75" customHeight="1">
      <c r="A231" s="5"/>
      <c r="B231" s="15"/>
      <c r="C231" s="15"/>
      <c r="D231" s="15"/>
      <c r="E231" s="15"/>
      <c r="F231" s="7"/>
      <c r="G231" s="15"/>
      <c r="H231" s="15"/>
      <c r="I231" s="7"/>
      <c r="J231" s="7"/>
      <c r="K231" s="7"/>
      <c r="L231" s="7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5.75" customHeight="1">
      <c r="A232" s="5"/>
      <c r="B232" s="15"/>
      <c r="C232" s="15"/>
      <c r="D232" s="15"/>
      <c r="E232" s="15"/>
      <c r="F232" s="7"/>
      <c r="G232" s="15"/>
      <c r="H232" s="15"/>
      <c r="I232" s="7"/>
      <c r="J232" s="7"/>
      <c r="K232" s="7"/>
      <c r="L232" s="7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5.75" customHeight="1">
      <c r="A233" s="5"/>
      <c r="B233" s="15"/>
      <c r="C233" s="15"/>
      <c r="D233" s="15"/>
      <c r="E233" s="15"/>
      <c r="F233" s="7"/>
      <c r="G233" s="15"/>
      <c r="H233" s="15"/>
      <c r="I233" s="7"/>
      <c r="J233" s="7"/>
      <c r="K233" s="7"/>
      <c r="L233" s="7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5.75" customHeight="1">
      <c r="A234" s="5"/>
      <c r="B234" s="15"/>
      <c r="C234" s="15"/>
      <c r="D234" s="15"/>
      <c r="E234" s="15"/>
      <c r="F234" s="7"/>
      <c r="G234" s="15"/>
      <c r="H234" s="15"/>
      <c r="I234" s="7"/>
      <c r="J234" s="7"/>
      <c r="K234" s="7"/>
      <c r="L234" s="7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5.75" customHeight="1">
      <c r="A235" s="5"/>
      <c r="B235" s="15"/>
      <c r="C235" s="15"/>
      <c r="D235" s="15"/>
      <c r="E235" s="15"/>
      <c r="F235" s="7"/>
      <c r="G235" s="15"/>
      <c r="H235" s="15"/>
      <c r="I235" s="7"/>
      <c r="J235" s="7"/>
      <c r="K235" s="7"/>
      <c r="L235" s="7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5.75" customHeight="1">
      <c r="A236" s="5"/>
      <c r="B236" s="15"/>
      <c r="C236" s="15"/>
      <c r="D236" s="15"/>
      <c r="E236" s="15"/>
      <c r="F236" s="7"/>
      <c r="G236" s="15"/>
      <c r="H236" s="15"/>
      <c r="I236" s="7"/>
      <c r="J236" s="7"/>
      <c r="K236" s="7"/>
      <c r="L236" s="7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5.75" customHeight="1">
      <c r="A237" s="5"/>
      <c r="B237" s="15"/>
      <c r="C237" s="15"/>
      <c r="D237" s="15"/>
      <c r="E237" s="15"/>
      <c r="F237" s="7"/>
      <c r="G237" s="15"/>
      <c r="H237" s="15"/>
      <c r="I237" s="7"/>
      <c r="J237" s="7"/>
      <c r="K237" s="7"/>
      <c r="L237" s="7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5.75" customHeight="1">
      <c r="A238" s="5"/>
      <c r="B238" s="15"/>
      <c r="C238" s="15"/>
      <c r="D238" s="15"/>
      <c r="E238" s="15"/>
      <c r="F238" s="7"/>
      <c r="G238" s="15"/>
      <c r="H238" s="15"/>
      <c r="I238" s="7"/>
      <c r="J238" s="7"/>
      <c r="K238" s="7"/>
      <c r="L238" s="7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5.75" customHeight="1">
      <c r="A239" s="5"/>
      <c r="B239" s="15"/>
      <c r="C239" s="15"/>
      <c r="D239" s="15"/>
      <c r="E239" s="15"/>
      <c r="F239" s="7"/>
      <c r="G239" s="15"/>
      <c r="H239" s="15"/>
      <c r="I239" s="7"/>
      <c r="J239" s="7"/>
      <c r="K239" s="7"/>
      <c r="L239" s="7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5.75" customHeight="1">
      <c r="A240" s="5"/>
      <c r="B240" s="15"/>
      <c r="C240" s="15"/>
      <c r="D240" s="15"/>
      <c r="E240" s="15"/>
      <c r="F240" s="7"/>
      <c r="G240" s="15"/>
      <c r="H240" s="15"/>
      <c r="I240" s="7"/>
      <c r="J240" s="7"/>
      <c r="K240" s="7"/>
      <c r="L240" s="7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5.75" customHeight="1">
      <c r="A241" s="5"/>
      <c r="B241" s="15"/>
      <c r="C241" s="15"/>
      <c r="D241" s="15"/>
      <c r="E241" s="15"/>
      <c r="F241" s="7"/>
      <c r="G241" s="15"/>
      <c r="H241" s="15"/>
      <c r="I241" s="7"/>
      <c r="J241" s="7"/>
      <c r="K241" s="7"/>
      <c r="L241" s="7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5.75" customHeight="1">
      <c r="A242" s="5"/>
      <c r="B242" s="15"/>
      <c r="C242" s="15"/>
      <c r="D242" s="15"/>
      <c r="E242" s="15"/>
      <c r="F242" s="7"/>
      <c r="G242" s="15"/>
      <c r="H242" s="15"/>
      <c r="I242" s="7"/>
      <c r="J242" s="7"/>
      <c r="K242" s="7"/>
      <c r="L242" s="7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5.75" customHeight="1">
      <c r="A243" s="5"/>
      <c r="B243" s="15"/>
      <c r="C243" s="15"/>
      <c r="D243" s="15"/>
      <c r="E243" s="15"/>
      <c r="F243" s="7"/>
      <c r="G243" s="15"/>
      <c r="H243" s="15"/>
      <c r="I243" s="7"/>
      <c r="J243" s="7"/>
      <c r="K243" s="7"/>
      <c r="L243" s="7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5.75" customHeight="1">
      <c r="A244" s="5"/>
      <c r="B244" s="15"/>
      <c r="C244" s="15"/>
      <c r="D244" s="15"/>
      <c r="E244" s="15"/>
      <c r="F244" s="7"/>
      <c r="G244" s="15"/>
      <c r="H244" s="15"/>
      <c r="I244" s="7"/>
      <c r="J244" s="7"/>
      <c r="K244" s="7"/>
      <c r="L244" s="7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5.75" customHeight="1">
      <c r="A245" s="5"/>
      <c r="B245" s="15"/>
      <c r="C245" s="15"/>
      <c r="D245" s="15"/>
      <c r="E245" s="15"/>
      <c r="F245" s="7"/>
      <c r="G245" s="15"/>
      <c r="H245" s="15"/>
      <c r="I245" s="7"/>
      <c r="J245" s="7"/>
      <c r="K245" s="7"/>
      <c r="L245" s="7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5.75" customHeight="1">
      <c r="A246" s="5"/>
      <c r="B246" s="15"/>
      <c r="C246" s="15"/>
      <c r="D246" s="15"/>
      <c r="E246" s="15"/>
      <c r="F246" s="7"/>
      <c r="G246" s="15"/>
      <c r="H246" s="15"/>
      <c r="I246" s="7"/>
      <c r="J246" s="7"/>
      <c r="K246" s="7"/>
      <c r="L246" s="7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5.75" customHeight="1">
      <c r="A247" s="5"/>
      <c r="B247" s="15"/>
      <c r="C247" s="15"/>
      <c r="D247" s="15"/>
      <c r="E247" s="15"/>
      <c r="F247" s="7"/>
      <c r="G247" s="15"/>
      <c r="H247" s="15"/>
      <c r="I247" s="7"/>
      <c r="J247" s="7"/>
      <c r="K247" s="7"/>
      <c r="L247" s="7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5.75" customHeight="1">
      <c r="A248" s="5"/>
      <c r="B248" s="15"/>
      <c r="C248" s="15"/>
      <c r="D248" s="15"/>
      <c r="E248" s="15"/>
      <c r="F248" s="7"/>
      <c r="G248" s="15"/>
      <c r="H248" s="15"/>
      <c r="I248" s="7"/>
      <c r="J248" s="7"/>
      <c r="K248" s="7"/>
      <c r="L248" s="7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5.75" customHeight="1">
      <c r="A249" s="5"/>
      <c r="B249" s="15"/>
      <c r="C249" s="15"/>
      <c r="D249" s="15"/>
      <c r="E249" s="15"/>
      <c r="F249" s="7"/>
      <c r="G249" s="15"/>
      <c r="H249" s="15"/>
      <c r="I249" s="7"/>
      <c r="J249" s="7"/>
      <c r="K249" s="7"/>
      <c r="L249" s="7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5.75" customHeight="1">
      <c r="A250" s="5"/>
      <c r="B250" s="15"/>
      <c r="C250" s="15"/>
      <c r="D250" s="15"/>
      <c r="E250" s="15"/>
      <c r="F250" s="7"/>
      <c r="G250" s="15"/>
      <c r="H250" s="15"/>
      <c r="I250" s="7"/>
      <c r="J250" s="7"/>
      <c r="K250" s="7"/>
      <c r="L250" s="7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5.75" customHeight="1"/>
    <row r="252" spans="1:26" ht="15.75" customHeight="1"/>
    <row r="253" spans="1:26" ht="15.75" customHeight="1"/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</sheetData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548135"/>
  </sheetPr>
  <dimension ref="A1:BK1022"/>
  <sheetViews>
    <sheetView tabSelected="1" zoomScaleNormal="100" workbookViewId="0">
      <pane xSplit="8" ySplit="2" topLeftCell="I223" activePane="bottomRight" state="frozen"/>
      <selection pane="topRight" activeCell="I1" sqref="I1"/>
      <selection pane="bottomLeft" activeCell="A3" sqref="A3"/>
      <selection pane="bottomRight" activeCell="H242" sqref="H242"/>
    </sheetView>
  </sheetViews>
  <sheetFormatPr defaultColWidth="14.42578125" defaultRowHeight="15" customHeight="1"/>
  <cols>
    <col min="1" max="1" width="14.7109375" customWidth="1"/>
    <col min="2" max="2" width="11.28515625" customWidth="1"/>
    <col min="3" max="3" width="18.28515625" bestFit="1" customWidth="1"/>
    <col min="4" max="4" width="7.140625" customWidth="1"/>
    <col min="5" max="5" width="18.85546875" bestFit="1" customWidth="1"/>
    <col min="6" max="6" width="22.28515625" bestFit="1" customWidth="1"/>
    <col min="7" max="7" width="13.28515625" bestFit="1" customWidth="1"/>
    <col min="8" max="8" width="20.5703125" bestFit="1" customWidth="1"/>
    <col min="9" max="9" width="17.42578125" customWidth="1"/>
    <col min="10" max="10" width="17.7109375" customWidth="1"/>
    <col min="11" max="11" width="16" customWidth="1"/>
    <col min="12" max="12" width="16.5703125" customWidth="1"/>
    <col min="13" max="14" width="12.7109375" customWidth="1"/>
    <col min="15" max="15" width="12.42578125" customWidth="1"/>
    <col min="16" max="17" width="12.7109375" customWidth="1"/>
    <col min="18" max="18" width="15.28515625" customWidth="1"/>
    <col min="19" max="19" width="10.42578125" bestFit="1" customWidth="1"/>
    <col min="20" max="20" width="10.28515625" bestFit="1" customWidth="1"/>
    <col min="21" max="21" width="48.7109375" bestFit="1" customWidth="1"/>
    <col min="22" max="22" width="11.42578125" customWidth="1"/>
    <col min="23" max="23" width="11.28515625" bestFit="1" customWidth="1"/>
    <col min="24" max="24" width="4.140625" customWidth="1"/>
    <col min="25" max="25" width="5.7109375" bestFit="1" customWidth="1"/>
    <col min="26" max="26" width="12.85546875" customWidth="1"/>
    <col min="27" max="27" width="21.5703125" bestFit="1" customWidth="1"/>
    <col min="28" max="28" width="22.140625" bestFit="1" customWidth="1"/>
    <col min="29" max="29" width="12.28515625" bestFit="1" customWidth="1"/>
    <col min="30" max="30" width="19.28515625" bestFit="1" customWidth="1"/>
    <col min="31" max="31" width="25.5703125" bestFit="1" customWidth="1"/>
    <col min="32" max="32" width="19.5703125" customWidth="1"/>
    <col min="33" max="33" width="18.28515625" bestFit="1" customWidth="1"/>
    <col min="34" max="34" width="25.28515625" bestFit="1" customWidth="1"/>
    <col min="35" max="35" width="35.5703125" bestFit="1" customWidth="1"/>
    <col min="36" max="36" width="15.5703125" customWidth="1"/>
    <col min="37" max="37" width="11.85546875" customWidth="1"/>
    <col min="38" max="38" width="12.42578125" customWidth="1"/>
    <col min="39" max="39" width="18.5703125" hidden="1" customWidth="1"/>
    <col min="40" max="40" width="22.140625" hidden="1" customWidth="1"/>
    <col min="41" max="42" width="17.7109375" hidden="1" customWidth="1"/>
    <col min="43" max="43" width="9" bestFit="1" customWidth="1"/>
    <col min="44" max="44" width="26.28515625" bestFit="1" customWidth="1"/>
    <col min="45" max="45" width="32.5703125" style="541" bestFit="1" customWidth="1"/>
    <col min="46" max="46" width="13.7109375" style="611" customWidth="1"/>
    <col min="47" max="47" width="17.28515625" style="588" customWidth="1"/>
    <col min="48" max="48" width="15.7109375" style="588" bestFit="1" customWidth="1"/>
    <col min="50" max="50" width="26.28515625" bestFit="1" customWidth="1"/>
  </cols>
  <sheetData>
    <row r="1" spans="1:48" ht="18" customHeight="1">
      <c r="A1" s="42">
        <v>1</v>
      </c>
      <c r="B1" s="42">
        <v>2</v>
      </c>
      <c r="C1" s="42">
        <v>3</v>
      </c>
      <c r="D1" s="29">
        <v>4</v>
      </c>
      <c r="E1" s="29" t="s">
        <v>147</v>
      </c>
      <c r="F1" s="42">
        <v>6</v>
      </c>
      <c r="G1" s="42">
        <v>7</v>
      </c>
      <c r="H1" s="42">
        <v>8</v>
      </c>
      <c r="I1" s="42">
        <v>9</v>
      </c>
      <c r="J1" s="42">
        <v>10</v>
      </c>
      <c r="K1" s="42">
        <v>11</v>
      </c>
      <c r="L1" s="42">
        <v>12</v>
      </c>
      <c r="M1" s="42">
        <v>13</v>
      </c>
      <c r="N1" s="42">
        <v>14</v>
      </c>
      <c r="O1" s="42">
        <v>15</v>
      </c>
      <c r="P1" s="42">
        <v>16</v>
      </c>
      <c r="Q1" s="29">
        <v>17</v>
      </c>
      <c r="R1" s="42">
        <v>18</v>
      </c>
      <c r="S1" s="42">
        <v>19</v>
      </c>
      <c r="T1" s="29">
        <v>20</v>
      </c>
      <c r="U1" s="43">
        <v>21</v>
      </c>
      <c r="V1" s="29">
        <v>22</v>
      </c>
      <c r="W1" s="29">
        <v>23</v>
      </c>
      <c r="X1" s="42">
        <v>24</v>
      </c>
      <c r="Y1" s="29">
        <v>25</v>
      </c>
      <c r="Z1" s="29">
        <v>26</v>
      </c>
      <c r="AA1" s="29">
        <v>27</v>
      </c>
      <c r="AB1" s="29">
        <v>28</v>
      </c>
      <c r="AC1" s="29">
        <v>29</v>
      </c>
      <c r="AD1" s="29">
        <v>30</v>
      </c>
      <c r="AE1" s="29" t="s">
        <v>148</v>
      </c>
      <c r="AF1" s="44">
        <v>32</v>
      </c>
      <c r="AG1" s="44">
        <v>33</v>
      </c>
      <c r="AH1" s="44">
        <v>34</v>
      </c>
      <c r="AI1" s="44">
        <v>35</v>
      </c>
      <c r="AJ1" s="45">
        <v>36</v>
      </c>
      <c r="AK1" s="44">
        <v>37</v>
      </c>
      <c r="AL1" s="44">
        <v>38</v>
      </c>
      <c r="AM1" s="44">
        <v>39</v>
      </c>
      <c r="AN1" s="45">
        <v>40</v>
      </c>
      <c r="AO1" s="45">
        <v>41</v>
      </c>
      <c r="AP1" s="45">
        <v>42</v>
      </c>
      <c r="AQ1" s="42">
        <v>43</v>
      </c>
      <c r="AR1" s="45">
        <v>44</v>
      </c>
      <c r="AS1" s="539">
        <v>45</v>
      </c>
      <c r="AT1" s="609" t="s">
        <v>1704</v>
      </c>
      <c r="AU1" s="604">
        <v>47</v>
      </c>
      <c r="AV1" s="606" t="s">
        <v>1724</v>
      </c>
    </row>
    <row r="2" spans="1:48" ht="26.25" thickBot="1">
      <c r="A2" s="46" t="s">
        <v>149</v>
      </c>
      <c r="B2" s="46" t="s">
        <v>150</v>
      </c>
      <c r="C2" s="47" t="s">
        <v>151</v>
      </c>
      <c r="D2" s="48" t="s">
        <v>152</v>
      </c>
      <c r="E2" s="47" t="s">
        <v>153</v>
      </c>
      <c r="F2" s="47" t="s">
        <v>154</v>
      </c>
      <c r="G2" s="48" t="s">
        <v>155</v>
      </c>
      <c r="H2" s="47" t="s">
        <v>156</v>
      </c>
      <c r="I2" s="49" t="s">
        <v>157</v>
      </c>
      <c r="J2" s="49" t="s">
        <v>158</v>
      </c>
      <c r="K2" s="49" t="s">
        <v>159</v>
      </c>
      <c r="L2" s="49" t="s">
        <v>160</v>
      </c>
      <c r="M2" s="50" t="s">
        <v>161</v>
      </c>
      <c r="N2" s="50" t="s">
        <v>162</v>
      </c>
      <c r="O2" s="50" t="s">
        <v>163</v>
      </c>
      <c r="P2" s="50" t="s">
        <v>164</v>
      </c>
      <c r="Q2" s="51" t="s">
        <v>165</v>
      </c>
      <c r="R2" s="49" t="s">
        <v>166</v>
      </c>
      <c r="S2" s="51" t="s">
        <v>167</v>
      </c>
      <c r="T2" s="52" t="s">
        <v>168</v>
      </c>
      <c r="U2" s="53" t="s">
        <v>169</v>
      </c>
      <c r="V2" s="47" t="s">
        <v>170</v>
      </c>
      <c r="W2" s="47" t="s">
        <v>171</v>
      </c>
      <c r="X2" s="54" t="s">
        <v>172</v>
      </c>
      <c r="Y2" s="55"/>
      <c r="Z2" s="46" t="s">
        <v>173</v>
      </c>
      <c r="AA2" s="46" t="s">
        <v>174</v>
      </c>
      <c r="AB2" s="46" t="s">
        <v>175</v>
      </c>
      <c r="AC2" s="46" t="s">
        <v>176</v>
      </c>
      <c r="AD2" s="47" t="s">
        <v>177</v>
      </c>
      <c r="AE2" s="47" t="s">
        <v>178</v>
      </c>
      <c r="AF2" s="56" t="s">
        <v>179</v>
      </c>
      <c r="AG2" s="56" t="s">
        <v>180</v>
      </c>
      <c r="AH2" s="56" t="s">
        <v>181</v>
      </c>
      <c r="AI2" s="56" t="s">
        <v>182</v>
      </c>
      <c r="AJ2" s="56" t="s">
        <v>183</v>
      </c>
      <c r="AK2" s="57" t="s">
        <v>184</v>
      </c>
      <c r="AL2" s="57" t="s">
        <v>185</v>
      </c>
      <c r="AM2" s="57" t="s">
        <v>186</v>
      </c>
      <c r="AN2" s="58" t="s">
        <v>187</v>
      </c>
      <c r="AO2" s="58" t="s">
        <v>188</v>
      </c>
      <c r="AP2" s="58" t="s">
        <v>189</v>
      </c>
      <c r="AQ2" s="532" t="s">
        <v>1598</v>
      </c>
      <c r="AS2" s="540" t="s">
        <v>762</v>
      </c>
      <c r="AT2" s="610" t="s">
        <v>1702</v>
      </c>
      <c r="AU2" s="589" t="s">
        <v>1721</v>
      </c>
      <c r="AV2" s="629" t="s">
        <v>1732</v>
      </c>
    </row>
    <row r="3" spans="1:48" ht="17.25" customHeight="1">
      <c r="A3" s="6" t="s">
        <v>1752</v>
      </c>
      <c r="B3" s="60">
        <v>45405</v>
      </c>
      <c r="C3" s="6" t="s">
        <v>73</v>
      </c>
      <c r="D3" s="30">
        <v>1</v>
      </c>
      <c r="E3" s="6" t="s">
        <v>1753</v>
      </c>
      <c r="F3" s="6" t="s">
        <v>1754</v>
      </c>
      <c r="G3" s="6" t="s">
        <v>1755</v>
      </c>
      <c r="H3" s="6" t="s">
        <v>17</v>
      </c>
      <c r="I3" s="61" t="s">
        <v>1756</v>
      </c>
      <c r="J3" s="32" t="s">
        <v>1755</v>
      </c>
      <c r="K3" s="32" t="s">
        <v>1757</v>
      </c>
      <c r="L3" s="62" t="s">
        <v>1752</v>
      </c>
      <c r="M3" s="37" t="str">
        <f>IFERROR(VLOOKUP(C3,[1]DATA!$A$11:$L$40,4,FALSE),"")</f>
        <v>5.00</v>
      </c>
      <c r="N3" s="28">
        <f>IFERROR(VLOOKUP(C3,[1]DATA!$A$11:$L$40,5,FALSE),"")</f>
        <v>4.5999999999999996</v>
      </c>
      <c r="O3" s="28">
        <f>IFERROR(VLOOKUP(C3,[1]DATA!$A$11:$L$40,6,FALSE),"")</f>
        <v>19</v>
      </c>
      <c r="P3" s="28">
        <f>IFERROR(VLOOKUP(C3,[1]DATA!$A$11:$L$40,7,FALSE),"")</f>
        <v>17</v>
      </c>
      <c r="Q3" s="29">
        <f>IFERROR(VLOOKUP(C3,[1]DATA!$A$11:$L$40,8,FALSE),"")</f>
        <v>960</v>
      </c>
      <c r="R3" s="6" t="str">
        <f>IFERROR(VLOOKUP(C3,[1]DATA!$A$11:$L$40,9,FALSE),"")</f>
        <v>CARTONS</v>
      </c>
      <c r="S3" s="30">
        <f>IFERROR(VLOOKUP(C3,[1]DATA!$A$11:$L$40,10,FALSE),"")</f>
        <v>13</v>
      </c>
      <c r="T3" s="63" t="str">
        <f>IFERROR(VLOOKUP(C3,[1]DATA!$A$11:$L$40,11,FALSE),"")</f>
        <v>30%</v>
      </c>
      <c r="U3" s="32" t="str">
        <f>IFERROR(VLOOKUP(C3,[1]DATA!$A$11:$L$40,12,FALSE),"")</f>
        <v>Lion King Supply Chain Management Co., LTD.</v>
      </c>
      <c r="V3" s="6" t="s">
        <v>190</v>
      </c>
      <c r="W3" s="6" t="s">
        <v>191</v>
      </c>
      <c r="X3" s="6" t="s">
        <v>192</v>
      </c>
      <c r="Y3" s="649" t="s">
        <v>193</v>
      </c>
      <c r="Z3" s="60">
        <v>45405</v>
      </c>
      <c r="AA3" s="60" t="s">
        <v>1758</v>
      </c>
      <c r="AB3" s="64">
        <v>45410</v>
      </c>
      <c r="AC3" s="64">
        <v>45415</v>
      </c>
      <c r="AD3" s="6" t="s">
        <v>24</v>
      </c>
      <c r="AE3" s="6" t="s">
        <v>1759</v>
      </c>
      <c r="AF3" s="65" t="s">
        <v>194</v>
      </c>
      <c r="AG3" s="65" t="s">
        <v>195</v>
      </c>
      <c r="AH3" s="65" t="s">
        <v>196</v>
      </c>
      <c r="AI3" s="65" t="s">
        <v>1760</v>
      </c>
      <c r="AJ3" s="65" t="s">
        <v>197</v>
      </c>
      <c r="AK3" s="66">
        <v>45405</v>
      </c>
      <c r="AL3" s="66">
        <v>45406</v>
      </c>
      <c r="AM3" s="66"/>
      <c r="AN3" s="67">
        <v>21000</v>
      </c>
      <c r="AO3" s="67">
        <f>IF(AQ3&lt;0,0,AQ3)-3*2000</f>
        <v>-6000</v>
      </c>
      <c r="AP3" s="67">
        <f t="shared" ref="AP3:AP17" si="0">AN3+AO3</f>
        <v>15000</v>
      </c>
      <c r="AQ3" s="59">
        <f>AM3-AK3</f>
        <v>-45405</v>
      </c>
      <c r="AV3" s="588">
        <v>45753.784490740742</v>
      </c>
    </row>
    <row r="4" spans="1:48" ht="18" customHeight="1">
      <c r="A4" s="6" t="s">
        <v>1761</v>
      </c>
      <c r="B4" s="60">
        <v>45405</v>
      </c>
      <c r="C4" s="6" t="s">
        <v>73</v>
      </c>
      <c r="D4" s="30">
        <v>2</v>
      </c>
      <c r="E4" s="6" t="s">
        <v>1753</v>
      </c>
      <c r="F4" s="6" t="s">
        <v>1754</v>
      </c>
      <c r="G4" s="6" t="str">
        <f t="shared" ref="G4:G17" si="1">J4</f>
        <v>AMCU9310988</v>
      </c>
      <c r="H4" s="6" t="str">
        <f>IFERROR(VLOOKUP(C4,[1]DATA!$A$11:$L$40,3,FALSE),"")</f>
        <v>FRESH DURIAN</v>
      </c>
      <c r="I4" s="61" t="s">
        <v>1762</v>
      </c>
      <c r="J4" s="32" t="s">
        <v>1763</v>
      </c>
      <c r="K4" s="32" t="s">
        <v>1764</v>
      </c>
      <c r="L4" s="62" t="s">
        <v>1761</v>
      </c>
      <c r="M4" s="37" t="str">
        <f>IFERROR(VLOOKUP(C4,[1]DATA!$A$11:$L$40,4,FALSE),"")</f>
        <v>5.00</v>
      </c>
      <c r="N4" s="28">
        <f>IFERROR(VLOOKUP(C4,[1]DATA!$A$11:$L$40,5,FALSE),"")</f>
        <v>4.5999999999999996</v>
      </c>
      <c r="O4" s="28">
        <f>IFERROR(VLOOKUP(C4,[1]DATA!$A$11:$L$40,6,FALSE),"")</f>
        <v>19</v>
      </c>
      <c r="P4" s="28">
        <f>IFERROR(VLOOKUP(C4,[1]DATA!$A$11:$L$40,7,FALSE),"")</f>
        <v>17</v>
      </c>
      <c r="Q4" s="29">
        <f>IFERROR(VLOOKUP(C4,[1]DATA!$A$11:$L$40,8,FALSE),"")</f>
        <v>960</v>
      </c>
      <c r="R4" s="6" t="str">
        <f>IFERROR(VLOOKUP(C4,[1]DATA!$A$11:$L$40,9,FALSE),"")</f>
        <v>CARTONS</v>
      </c>
      <c r="S4" s="30">
        <f>IFERROR(VLOOKUP(C4,[1]DATA!$A$11:$L$40,10,FALSE),"")</f>
        <v>13</v>
      </c>
      <c r="T4" s="63" t="str">
        <f>IFERROR(VLOOKUP(C4,[1]DATA!$A$11:$L$40,11,FALSE),"")</f>
        <v>30%</v>
      </c>
      <c r="U4" s="32" t="str">
        <f>IFERROR(VLOOKUP(C4,[1]DATA!$A$11:$L$40,12,FALSE),"")</f>
        <v>Lion King Supply Chain Management Co., LTD.</v>
      </c>
      <c r="V4" s="6" t="s">
        <v>190</v>
      </c>
      <c r="W4" s="6" t="s">
        <v>198</v>
      </c>
      <c r="X4" s="6" t="s">
        <v>192</v>
      </c>
      <c r="Y4" s="649" t="s">
        <v>193</v>
      </c>
      <c r="Z4" s="60">
        <v>45405</v>
      </c>
      <c r="AA4" s="60" t="s">
        <v>1765</v>
      </c>
      <c r="AB4" s="64">
        <v>45410</v>
      </c>
      <c r="AC4" s="64">
        <v>45327</v>
      </c>
      <c r="AD4" s="6" t="s">
        <v>13</v>
      </c>
      <c r="AE4" s="6" t="s">
        <v>1766</v>
      </c>
      <c r="AF4" s="65" t="s">
        <v>199</v>
      </c>
      <c r="AG4" s="65" t="s">
        <v>1767</v>
      </c>
      <c r="AH4" s="650" t="s">
        <v>1768</v>
      </c>
      <c r="AI4" s="65" t="s">
        <v>1769</v>
      </c>
      <c r="AJ4" s="65" t="s">
        <v>197</v>
      </c>
      <c r="AK4" s="66">
        <v>45405</v>
      </c>
      <c r="AL4" s="66">
        <v>45406</v>
      </c>
      <c r="AM4" s="66"/>
      <c r="AN4" s="67"/>
      <c r="AO4" s="67">
        <f t="shared" ref="AO4:AO17" si="2">((AM4-Z4)-3)*2500</f>
        <v>-113520000</v>
      </c>
      <c r="AP4" s="67">
        <f t="shared" si="0"/>
        <v>-113520000</v>
      </c>
      <c r="AQ4" s="59"/>
      <c r="AV4" s="588">
        <v>45753.784490740742</v>
      </c>
    </row>
    <row r="5" spans="1:48" ht="18" customHeight="1">
      <c r="A5" s="6" t="s">
        <v>1770</v>
      </c>
      <c r="B5" s="60">
        <v>45405</v>
      </c>
      <c r="C5" s="6" t="s">
        <v>81</v>
      </c>
      <c r="D5" s="30">
        <v>1</v>
      </c>
      <c r="E5" s="6" t="s">
        <v>1771</v>
      </c>
      <c r="F5" s="6" t="s">
        <v>200</v>
      </c>
      <c r="G5" s="6" t="str">
        <f t="shared" si="1"/>
        <v>EMCU5669064</v>
      </c>
      <c r="H5" s="6" t="str">
        <f>IFERROR(VLOOKUP(C5,[1]DATA!$A$11:$L$40,3,FALSE),"")</f>
        <v>FRESH DURIAN</v>
      </c>
      <c r="I5" s="61" t="s">
        <v>1772</v>
      </c>
      <c r="J5" s="32" t="s">
        <v>1773</v>
      </c>
      <c r="K5" s="32" t="s">
        <v>1774</v>
      </c>
      <c r="L5" s="62" t="s">
        <v>1770</v>
      </c>
      <c r="M5" s="37" t="str">
        <f>IFERROR(VLOOKUP(C5,[1]DATA!$A$11:$L$40,4,FALSE),"")</f>
        <v>5.00</v>
      </c>
      <c r="N5" s="28">
        <f>IFERROR(VLOOKUP(C5,[1]DATA!$A$11:$L$40,5,FALSE),"")</f>
        <v>4.5999999999999996</v>
      </c>
      <c r="O5" s="28">
        <f>IFERROR(VLOOKUP(C5,[1]DATA!$A$11:$L$40,6,FALSE),"")</f>
        <v>19</v>
      </c>
      <c r="P5" s="28">
        <f>IFERROR(VLOOKUP(C5,[1]DATA!$A$11:$L$40,7,FALSE),"")</f>
        <v>17</v>
      </c>
      <c r="Q5" s="29">
        <f>IFERROR(VLOOKUP(C5,[1]DATA!$A$11:$L$40,8,FALSE),"")</f>
        <v>960</v>
      </c>
      <c r="R5" s="6" t="str">
        <f>IFERROR(VLOOKUP(C5,[1]DATA!$A$11:$L$40,9,FALSE),"")</f>
        <v>CARTONS</v>
      </c>
      <c r="S5" s="30">
        <f>IFERROR(VLOOKUP(C5,[1]DATA!$A$11:$L$40,10,FALSE),"")</f>
        <v>13</v>
      </c>
      <c r="T5" s="63" t="str">
        <f>IFERROR(VLOOKUP(C5,[1]DATA!$A$11:$L$40,11,FALSE),"")</f>
        <v>30%</v>
      </c>
      <c r="U5" s="32" t="str">
        <f>IFERROR(VLOOKUP(C5,[1]DATA!$A$11:$L$40,12,FALSE),"")</f>
        <v>BEIJING JUNYAO INTERNATIONAL</v>
      </c>
      <c r="V5" s="6" t="s">
        <v>190</v>
      </c>
      <c r="W5" s="6" t="s">
        <v>191</v>
      </c>
      <c r="X5" s="6" t="s">
        <v>192</v>
      </c>
      <c r="Y5" s="649" t="s">
        <v>193</v>
      </c>
      <c r="Z5" s="60">
        <v>45405</v>
      </c>
      <c r="AA5" s="60" t="s">
        <v>1775</v>
      </c>
      <c r="AB5" s="64">
        <v>45410</v>
      </c>
      <c r="AC5" s="64">
        <v>45415</v>
      </c>
      <c r="AD5" s="6" t="s">
        <v>24</v>
      </c>
      <c r="AE5" s="6" t="s">
        <v>1759</v>
      </c>
      <c r="AF5" s="65" t="s">
        <v>201</v>
      </c>
      <c r="AG5" s="65" t="s">
        <v>202</v>
      </c>
      <c r="AH5" s="65" t="s">
        <v>203</v>
      </c>
      <c r="AI5" s="65" t="s">
        <v>1776</v>
      </c>
      <c r="AJ5" s="65" t="s">
        <v>197</v>
      </c>
      <c r="AK5" s="66">
        <v>45405</v>
      </c>
      <c r="AL5" s="66">
        <v>45406</v>
      </c>
      <c r="AM5" s="66"/>
      <c r="AN5" s="67"/>
      <c r="AO5" s="67">
        <f t="shared" si="2"/>
        <v>-113520000</v>
      </c>
      <c r="AP5" s="67">
        <f t="shared" si="0"/>
        <v>-113520000</v>
      </c>
      <c r="AQ5" s="59"/>
      <c r="AV5" s="588">
        <v>45753.784490740742</v>
      </c>
    </row>
    <row r="6" spans="1:48" ht="18" customHeight="1">
      <c r="A6" s="6" t="s">
        <v>204</v>
      </c>
      <c r="B6" s="60">
        <v>45405</v>
      </c>
      <c r="C6" s="6" t="s">
        <v>81</v>
      </c>
      <c r="D6" s="30">
        <v>2</v>
      </c>
      <c r="E6" s="6" t="s">
        <v>1771</v>
      </c>
      <c r="F6" s="6" t="s">
        <v>200</v>
      </c>
      <c r="G6" s="6" t="str">
        <f t="shared" si="1"/>
        <v>EMCU5659908</v>
      </c>
      <c r="H6" s="6" t="str">
        <f>IFERROR(VLOOKUP(C6,[1]DATA!$A$11:$L$40,3,FALSE),"")</f>
        <v>FRESH DURIAN</v>
      </c>
      <c r="I6" s="9" t="s">
        <v>1777</v>
      </c>
      <c r="J6" s="7" t="s">
        <v>1778</v>
      </c>
      <c r="K6" s="7" t="s">
        <v>1779</v>
      </c>
      <c r="L6" s="62" t="s">
        <v>204</v>
      </c>
      <c r="M6" s="37" t="str">
        <f>IFERROR(VLOOKUP(C6,[1]DATA!$A$11:$L$40,4,FALSE),"")</f>
        <v>5.00</v>
      </c>
      <c r="N6" s="28">
        <f>IFERROR(VLOOKUP(C6,[1]DATA!$A$11:$L$40,5,FALSE),"")</f>
        <v>4.5999999999999996</v>
      </c>
      <c r="O6" s="28">
        <f>IFERROR(VLOOKUP(C6,[1]DATA!$A$11:$L$40,6,FALSE),"")</f>
        <v>19</v>
      </c>
      <c r="P6" s="28">
        <f>IFERROR(VLOOKUP(C6,[1]DATA!$A$11:$L$40,7,FALSE),"")</f>
        <v>17</v>
      </c>
      <c r="Q6" s="29">
        <f>IFERROR(VLOOKUP(C6,[1]DATA!$A$11:$L$40,8,FALSE),"")</f>
        <v>960</v>
      </c>
      <c r="R6" s="6" t="str">
        <f>IFERROR(VLOOKUP(C6,[1]DATA!$A$11:$L$40,9,FALSE),"")</f>
        <v>CARTONS</v>
      </c>
      <c r="S6" s="30">
        <f>IFERROR(VLOOKUP(C6,[1]DATA!$A$11:$L$40,10,FALSE),"")</f>
        <v>13</v>
      </c>
      <c r="T6" s="63" t="str">
        <f>IFERROR(VLOOKUP(C6,[1]DATA!$A$11:$L$40,11,FALSE),"")</f>
        <v>30%</v>
      </c>
      <c r="U6" s="32" t="str">
        <f>IFERROR(VLOOKUP(C6,[1]DATA!$A$11:$L$40,12,FALSE),"")</f>
        <v>BEIJING JUNYAO INTERNATIONAL</v>
      </c>
      <c r="V6" s="6" t="s">
        <v>190</v>
      </c>
      <c r="W6" s="6" t="s">
        <v>191</v>
      </c>
      <c r="X6" s="6" t="s">
        <v>192</v>
      </c>
      <c r="Y6" s="649" t="s">
        <v>193</v>
      </c>
      <c r="Z6" s="60">
        <v>45405</v>
      </c>
      <c r="AA6" s="60" t="s">
        <v>1775</v>
      </c>
      <c r="AB6" s="64">
        <v>45410</v>
      </c>
      <c r="AC6" s="64">
        <v>45415</v>
      </c>
      <c r="AD6" s="6" t="s">
        <v>24</v>
      </c>
      <c r="AE6" s="6" t="s">
        <v>1759</v>
      </c>
      <c r="AF6" s="65" t="s">
        <v>201</v>
      </c>
      <c r="AG6" s="65" t="s">
        <v>205</v>
      </c>
      <c r="AH6" s="65" t="s">
        <v>206</v>
      </c>
      <c r="AI6" s="65" t="s">
        <v>207</v>
      </c>
      <c r="AJ6" s="65" t="s">
        <v>197</v>
      </c>
      <c r="AK6" s="66">
        <v>45405</v>
      </c>
      <c r="AL6" s="66">
        <v>45406</v>
      </c>
      <c r="AM6" s="66"/>
      <c r="AN6" s="68"/>
      <c r="AO6" s="67">
        <f t="shared" si="2"/>
        <v>-113520000</v>
      </c>
      <c r="AP6" s="67">
        <f t="shared" si="0"/>
        <v>-113520000</v>
      </c>
      <c r="AQ6" s="59"/>
      <c r="AV6" s="588">
        <v>45753.784490740742</v>
      </c>
    </row>
    <row r="7" spans="1:48" ht="18" customHeight="1">
      <c r="A7" s="6" t="s">
        <v>1780</v>
      </c>
      <c r="B7" s="60">
        <v>45405</v>
      </c>
      <c r="C7" s="6" t="s">
        <v>81</v>
      </c>
      <c r="D7" s="30">
        <v>3</v>
      </c>
      <c r="E7" s="6" t="s">
        <v>1771</v>
      </c>
      <c r="F7" s="6" t="s">
        <v>200</v>
      </c>
      <c r="G7" s="6" t="str">
        <f t="shared" si="1"/>
        <v>EMCU5669110</v>
      </c>
      <c r="H7" s="6" t="str">
        <f>IFERROR(VLOOKUP(C7,[1]DATA!$A$11:$L$40,3,FALSE),"")</f>
        <v>FRESH DURIAN</v>
      </c>
      <c r="I7" s="9" t="s">
        <v>1781</v>
      </c>
      <c r="J7" s="7" t="s">
        <v>1782</v>
      </c>
      <c r="K7" s="7" t="s">
        <v>1783</v>
      </c>
      <c r="L7" s="62" t="s">
        <v>1780</v>
      </c>
      <c r="M7" s="37" t="str">
        <f>IFERROR(VLOOKUP(C7,[1]DATA!$A$11:$L$40,4,FALSE),"")</f>
        <v>5.00</v>
      </c>
      <c r="N7" s="28">
        <f>IFERROR(VLOOKUP(C7,[1]DATA!$A$11:$L$40,5,FALSE),"")</f>
        <v>4.5999999999999996</v>
      </c>
      <c r="O7" s="28">
        <f>IFERROR(VLOOKUP(C7,[1]DATA!$A$11:$L$40,6,FALSE),"")</f>
        <v>19</v>
      </c>
      <c r="P7" s="28">
        <f>IFERROR(VLOOKUP(C7,[1]DATA!$A$11:$L$40,7,FALSE),"")</f>
        <v>17</v>
      </c>
      <c r="Q7" s="29">
        <f>IFERROR(VLOOKUP(C7,[1]DATA!$A$11:$L$40,8,FALSE),"")</f>
        <v>960</v>
      </c>
      <c r="R7" s="6" t="str">
        <f>IFERROR(VLOOKUP(C7,[1]DATA!$A$11:$L$40,9,FALSE),"")</f>
        <v>CARTONS</v>
      </c>
      <c r="S7" s="30">
        <f>IFERROR(VLOOKUP(C7,[1]DATA!$A$11:$L$40,10,FALSE),"")</f>
        <v>13</v>
      </c>
      <c r="T7" s="63" t="str">
        <f>IFERROR(VLOOKUP(C7,[1]DATA!$A$11:$L$40,11,FALSE),"")</f>
        <v>30%</v>
      </c>
      <c r="U7" s="32" t="str">
        <f>IFERROR(VLOOKUP(C7,[1]DATA!$A$11:$L$40,12,FALSE),"")</f>
        <v>BEIJING JUNYAO INTERNATIONAL</v>
      </c>
      <c r="V7" s="6" t="s">
        <v>190</v>
      </c>
      <c r="W7" s="6" t="s">
        <v>191</v>
      </c>
      <c r="X7" s="6" t="s">
        <v>192</v>
      </c>
      <c r="Y7" s="649" t="s">
        <v>193</v>
      </c>
      <c r="Z7" s="60">
        <v>45405</v>
      </c>
      <c r="AA7" s="60" t="s">
        <v>1775</v>
      </c>
      <c r="AB7" s="64">
        <v>45410</v>
      </c>
      <c r="AC7" s="64">
        <v>45415</v>
      </c>
      <c r="AD7" s="6" t="s">
        <v>24</v>
      </c>
      <c r="AE7" s="6" t="s">
        <v>1759</v>
      </c>
      <c r="AF7" s="65" t="s">
        <v>1784</v>
      </c>
      <c r="AG7" s="65" t="s">
        <v>208</v>
      </c>
      <c r="AH7" s="65" t="s">
        <v>209</v>
      </c>
      <c r="AI7" s="65" t="s">
        <v>210</v>
      </c>
      <c r="AJ7" s="65" t="s">
        <v>197</v>
      </c>
      <c r="AK7" s="66">
        <v>45405</v>
      </c>
      <c r="AL7" s="66">
        <v>45406</v>
      </c>
      <c r="AM7" s="66"/>
      <c r="AN7" s="68"/>
      <c r="AO7" s="67">
        <f t="shared" si="2"/>
        <v>-113520000</v>
      </c>
      <c r="AP7" s="67">
        <f t="shared" si="0"/>
        <v>-113520000</v>
      </c>
      <c r="AQ7" s="59"/>
      <c r="AV7" s="588">
        <v>45753.784490740742</v>
      </c>
    </row>
    <row r="8" spans="1:48" ht="18" customHeight="1">
      <c r="A8" s="6" t="s">
        <v>1785</v>
      </c>
      <c r="B8" s="60">
        <v>45405</v>
      </c>
      <c r="C8" s="6" t="s">
        <v>81</v>
      </c>
      <c r="D8" s="30">
        <v>4</v>
      </c>
      <c r="E8" s="6" t="s">
        <v>1771</v>
      </c>
      <c r="F8" s="6" t="s">
        <v>200</v>
      </c>
      <c r="G8" s="6" t="str">
        <f t="shared" si="1"/>
        <v>EMCU5658584</v>
      </c>
      <c r="H8" s="6" t="str">
        <f>IFERROR(VLOOKUP(C8,[1]DATA!$A$11:$L$40,3,FALSE),"")</f>
        <v>FRESH DURIAN</v>
      </c>
      <c r="I8" s="9" t="s">
        <v>1786</v>
      </c>
      <c r="J8" s="7" t="s">
        <v>1787</v>
      </c>
      <c r="K8" s="7" t="s">
        <v>1788</v>
      </c>
      <c r="L8" s="62" t="s">
        <v>1785</v>
      </c>
      <c r="M8" s="37" t="str">
        <f>IFERROR(VLOOKUP(C8,[1]DATA!$A$11:$L$40,4,FALSE),"")</f>
        <v>5.00</v>
      </c>
      <c r="N8" s="28">
        <f>IFERROR(VLOOKUP(C8,[1]DATA!$A$11:$L$40,5,FALSE),"")</f>
        <v>4.5999999999999996</v>
      </c>
      <c r="O8" s="28">
        <f>IFERROR(VLOOKUP(C8,[1]DATA!$A$11:$L$40,6,FALSE),"")</f>
        <v>19</v>
      </c>
      <c r="P8" s="28">
        <f>IFERROR(VLOOKUP(C8,[1]DATA!$A$11:$L$40,7,FALSE),"")</f>
        <v>17</v>
      </c>
      <c r="Q8" s="29">
        <f>IFERROR(VLOOKUP(C8,[1]DATA!$A$11:$L$40,8,FALSE),"")</f>
        <v>960</v>
      </c>
      <c r="R8" s="6" t="str">
        <f>IFERROR(VLOOKUP(C8,[1]DATA!$A$11:$L$40,9,FALSE),"")</f>
        <v>CARTONS</v>
      </c>
      <c r="S8" s="30">
        <f>IFERROR(VLOOKUP(C8,[1]DATA!$A$11:$L$40,10,FALSE),"")</f>
        <v>13</v>
      </c>
      <c r="T8" s="63" t="str">
        <f>IFERROR(VLOOKUP(C8,[1]DATA!$A$11:$L$40,11,FALSE),"")</f>
        <v>30%</v>
      </c>
      <c r="U8" s="32" t="str">
        <f>IFERROR(VLOOKUP(C8,[1]DATA!$A$11:$L$40,12,FALSE),"")</f>
        <v>BEIJING JUNYAO INTERNATIONAL</v>
      </c>
      <c r="V8" s="6" t="s">
        <v>190</v>
      </c>
      <c r="W8" s="6" t="s">
        <v>191</v>
      </c>
      <c r="X8" s="6" t="s">
        <v>192</v>
      </c>
      <c r="Y8" s="649" t="s">
        <v>193</v>
      </c>
      <c r="Z8" s="60">
        <v>45405</v>
      </c>
      <c r="AA8" s="60" t="s">
        <v>1775</v>
      </c>
      <c r="AB8" s="64">
        <v>45410</v>
      </c>
      <c r="AC8" s="64">
        <v>45415</v>
      </c>
      <c r="AD8" s="6" t="s">
        <v>24</v>
      </c>
      <c r="AE8" s="6" t="s">
        <v>1759</v>
      </c>
      <c r="AF8" s="65" t="s">
        <v>199</v>
      </c>
      <c r="AG8" s="65" t="s">
        <v>1789</v>
      </c>
      <c r="AH8" s="65" t="s">
        <v>1790</v>
      </c>
      <c r="AI8" s="65" t="s">
        <v>1791</v>
      </c>
      <c r="AJ8" s="65" t="s">
        <v>197</v>
      </c>
      <c r="AK8" s="66">
        <v>45405</v>
      </c>
      <c r="AL8" s="66">
        <v>45406</v>
      </c>
      <c r="AM8" s="66"/>
      <c r="AN8" s="68"/>
      <c r="AO8" s="67">
        <f t="shared" si="2"/>
        <v>-113520000</v>
      </c>
      <c r="AP8" s="67">
        <f t="shared" si="0"/>
        <v>-113520000</v>
      </c>
      <c r="AQ8" s="59"/>
      <c r="AV8" s="588">
        <v>45753.784490740742</v>
      </c>
    </row>
    <row r="9" spans="1:48" ht="18" customHeight="1">
      <c r="A9" s="6" t="s">
        <v>1792</v>
      </c>
      <c r="B9" s="60">
        <v>45406</v>
      </c>
      <c r="C9" s="6" t="s">
        <v>73</v>
      </c>
      <c r="D9" s="30">
        <v>3</v>
      </c>
      <c r="E9" s="6" t="s">
        <v>1753</v>
      </c>
      <c r="F9" s="6" t="s">
        <v>1754</v>
      </c>
      <c r="G9" s="6" t="str">
        <f t="shared" si="1"/>
        <v>SEKU9096624</v>
      </c>
      <c r="H9" s="6" t="str">
        <f>IFERROR(VLOOKUP(C9,[1]DATA!$A$11:$L$40,3,FALSE),"")</f>
        <v>FRESH DURIAN</v>
      </c>
      <c r="I9" s="9" t="s">
        <v>1793</v>
      </c>
      <c r="J9" s="7" t="s">
        <v>1794</v>
      </c>
      <c r="K9" s="7" t="s">
        <v>1795</v>
      </c>
      <c r="L9" s="62" t="s">
        <v>1792</v>
      </c>
      <c r="M9" s="37" t="str">
        <f>IFERROR(VLOOKUP(C9,[1]DATA!$A$11:$L$40,4,FALSE),"")</f>
        <v>5.00</v>
      </c>
      <c r="N9" s="28">
        <f>IFERROR(VLOOKUP(C9,[1]DATA!$A$11:$L$40,5,FALSE),"")</f>
        <v>4.5999999999999996</v>
      </c>
      <c r="O9" s="28">
        <f>IFERROR(VLOOKUP(C9,[1]DATA!$A$11:$L$40,6,FALSE),"")</f>
        <v>19</v>
      </c>
      <c r="P9" s="28">
        <f>IFERROR(VLOOKUP(C9,[1]DATA!$A$11:$L$40,7,FALSE),"")</f>
        <v>17</v>
      </c>
      <c r="Q9" s="29">
        <f>IFERROR(VLOOKUP(C9,[1]DATA!$A$11:$L$40,8,FALSE),"")</f>
        <v>960</v>
      </c>
      <c r="R9" s="6" t="str">
        <f>IFERROR(VLOOKUP(C9,[1]DATA!$A$11:$L$40,9,FALSE),"")</f>
        <v>CARTONS</v>
      </c>
      <c r="S9" s="30">
        <f>IFERROR(VLOOKUP(C9,[1]DATA!$A$11:$L$40,10,FALSE),"")</f>
        <v>13</v>
      </c>
      <c r="T9" s="63" t="str">
        <f>IFERROR(VLOOKUP(C9,[1]DATA!$A$11:$L$40,11,FALSE),"")</f>
        <v>30%</v>
      </c>
      <c r="U9" s="32" t="str">
        <f>IFERROR(VLOOKUP(C9,[1]DATA!$A$11:$L$40,12,FALSE),"")</f>
        <v>Lion King Supply Chain Management Co., LTD.</v>
      </c>
      <c r="V9" s="6" t="s">
        <v>190</v>
      </c>
      <c r="W9" s="6" t="s">
        <v>211</v>
      </c>
      <c r="X9" s="6" t="s">
        <v>192</v>
      </c>
      <c r="Y9" s="6" t="s">
        <v>212</v>
      </c>
      <c r="Z9" s="60">
        <v>45406</v>
      </c>
      <c r="AA9" s="60" t="s">
        <v>1765</v>
      </c>
      <c r="AB9" s="64">
        <v>45410</v>
      </c>
      <c r="AC9" s="64">
        <v>45415</v>
      </c>
      <c r="AD9" s="6" t="s">
        <v>24</v>
      </c>
      <c r="AE9" s="6" t="s">
        <v>213</v>
      </c>
      <c r="AF9" s="65" t="s">
        <v>194</v>
      </c>
      <c r="AG9" s="65" t="s">
        <v>214</v>
      </c>
      <c r="AH9" s="65" t="s">
        <v>215</v>
      </c>
      <c r="AI9" s="65" t="s">
        <v>1796</v>
      </c>
      <c r="AJ9" s="65" t="s">
        <v>197</v>
      </c>
      <c r="AK9" s="66">
        <v>45406</v>
      </c>
      <c r="AL9" s="66">
        <v>45407</v>
      </c>
      <c r="AM9" s="66"/>
      <c r="AN9" s="68"/>
      <c r="AO9" s="67">
        <f t="shared" si="2"/>
        <v>-113522500</v>
      </c>
      <c r="AP9" s="67">
        <f t="shared" si="0"/>
        <v>-113522500</v>
      </c>
      <c r="AQ9" s="59"/>
      <c r="AV9" s="588">
        <v>45753.784490740742</v>
      </c>
    </row>
    <row r="10" spans="1:48" ht="18" customHeight="1">
      <c r="A10" s="6" t="s">
        <v>216</v>
      </c>
      <c r="B10" s="60">
        <v>45406</v>
      </c>
      <c r="C10" s="6" t="s">
        <v>73</v>
      </c>
      <c r="D10" s="30">
        <v>4</v>
      </c>
      <c r="E10" s="6" t="s">
        <v>1753</v>
      </c>
      <c r="F10" s="6" t="s">
        <v>1754</v>
      </c>
      <c r="G10" s="6" t="str">
        <f t="shared" si="1"/>
        <v>FBIU5337899</v>
      </c>
      <c r="H10" s="6" t="str">
        <f>IFERROR(VLOOKUP(C10,[1]DATA!$A$11:$L$40,3,FALSE),"")</f>
        <v>FRESH DURIAN</v>
      </c>
      <c r="I10" s="9" t="s">
        <v>1797</v>
      </c>
      <c r="J10" s="7" t="s">
        <v>1798</v>
      </c>
      <c r="K10" s="7" t="s">
        <v>1799</v>
      </c>
      <c r="L10" s="62" t="s">
        <v>216</v>
      </c>
      <c r="M10" s="37" t="str">
        <f>IFERROR(VLOOKUP(C10,[1]DATA!$A$11:$L$40,4,FALSE),"")</f>
        <v>5.00</v>
      </c>
      <c r="N10" s="28">
        <f>IFERROR(VLOOKUP(C10,[1]DATA!$A$11:$L$40,5,FALSE),"")</f>
        <v>4.5999999999999996</v>
      </c>
      <c r="O10" s="28">
        <f>IFERROR(VLOOKUP(C10,[1]DATA!$A$11:$L$40,6,FALSE),"")</f>
        <v>19</v>
      </c>
      <c r="P10" s="28">
        <f>IFERROR(VLOOKUP(C10,[1]DATA!$A$11:$L$40,7,FALSE),"")</f>
        <v>17</v>
      </c>
      <c r="Q10" s="29">
        <f>IFERROR(VLOOKUP(C10,[1]DATA!$A$11:$L$40,8,FALSE),"")</f>
        <v>960</v>
      </c>
      <c r="R10" s="6" t="str">
        <f>IFERROR(VLOOKUP(C10,[1]DATA!$A$11:$L$40,9,FALSE),"")</f>
        <v>CARTONS</v>
      </c>
      <c r="S10" s="30">
        <f>IFERROR(VLOOKUP(C10,[1]DATA!$A$11:$L$40,10,FALSE),"")</f>
        <v>13</v>
      </c>
      <c r="T10" s="63" t="str">
        <f>IFERROR(VLOOKUP(C10,[1]DATA!$A$11:$L$40,11,FALSE),"")</f>
        <v>30%</v>
      </c>
      <c r="U10" s="32" t="str">
        <f>IFERROR(VLOOKUP(C10,[1]DATA!$A$11:$L$40,12,FALSE),"")</f>
        <v>Lion King Supply Chain Management Co., LTD.</v>
      </c>
      <c r="V10" s="6" t="s">
        <v>190</v>
      </c>
      <c r="W10" s="6" t="s">
        <v>211</v>
      </c>
      <c r="X10" s="6" t="s">
        <v>192</v>
      </c>
      <c r="Y10" s="6" t="s">
        <v>212</v>
      </c>
      <c r="Z10" s="60">
        <v>45406</v>
      </c>
      <c r="AA10" s="60" t="s">
        <v>1765</v>
      </c>
      <c r="AB10" s="64">
        <v>45410</v>
      </c>
      <c r="AC10" s="64">
        <v>45415</v>
      </c>
      <c r="AD10" s="6" t="s">
        <v>24</v>
      </c>
      <c r="AE10" s="6" t="s">
        <v>213</v>
      </c>
      <c r="AF10" s="65" t="s">
        <v>201</v>
      </c>
      <c r="AG10" s="65" t="s">
        <v>1800</v>
      </c>
      <c r="AH10" s="65" t="s">
        <v>1801</v>
      </c>
      <c r="AI10" s="65" t="s">
        <v>1802</v>
      </c>
      <c r="AJ10" s="65" t="s">
        <v>197</v>
      </c>
      <c r="AK10" s="66">
        <v>45406</v>
      </c>
      <c r="AL10" s="66">
        <v>45407</v>
      </c>
      <c r="AM10" s="66"/>
      <c r="AN10" s="68"/>
      <c r="AO10" s="67">
        <f t="shared" si="2"/>
        <v>-113522500</v>
      </c>
      <c r="AP10" s="67">
        <f t="shared" si="0"/>
        <v>-113522500</v>
      </c>
      <c r="AQ10" s="59"/>
      <c r="AV10" s="588">
        <v>45753.784490740742</v>
      </c>
    </row>
    <row r="11" spans="1:48" ht="18" customHeight="1">
      <c r="A11" s="6" t="s">
        <v>217</v>
      </c>
      <c r="B11" s="60">
        <v>45406</v>
      </c>
      <c r="C11" s="6" t="s">
        <v>98</v>
      </c>
      <c r="D11" s="30">
        <v>1</v>
      </c>
      <c r="E11" s="6" t="s">
        <v>218</v>
      </c>
      <c r="F11" s="6" t="s">
        <v>219</v>
      </c>
      <c r="G11" s="6" t="str">
        <f t="shared" si="1"/>
        <v>FSCU5698803</v>
      </c>
      <c r="H11" s="6" t="str">
        <f>IFERROR(VLOOKUP(C11,[1]DATA!$A$11:$L$40,3,FALSE),"")</f>
        <v>FRESH DURIAN</v>
      </c>
      <c r="I11" s="9" t="s">
        <v>220</v>
      </c>
      <c r="J11" s="7" t="s">
        <v>1803</v>
      </c>
      <c r="K11" s="7" t="s">
        <v>1804</v>
      </c>
      <c r="L11" s="62" t="s">
        <v>217</v>
      </c>
      <c r="M11" s="37" t="str">
        <f>IFERROR(VLOOKUP(C11,[1]DATA!$A$11:$L$40,4,FALSE),"")</f>
        <v>5.00</v>
      </c>
      <c r="N11" s="28">
        <f>IFERROR(VLOOKUP(C11,[1]DATA!$A$11:$L$40,5,FALSE),"")</f>
        <v>4.5999999999999996</v>
      </c>
      <c r="O11" s="28">
        <f>IFERROR(VLOOKUP(C11,[1]DATA!$A$11:$L$40,6,FALSE),"")</f>
        <v>20</v>
      </c>
      <c r="P11" s="28">
        <f>IFERROR(VLOOKUP(C11,[1]DATA!$A$11:$L$40,7,FALSE),"")</f>
        <v>18</v>
      </c>
      <c r="Q11" s="29">
        <f>IFERROR(VLOOKUP(C11,[1]DATA!$A$11:$L$40,8,FALSE),"")</f>
        <v>960</v>
      </c>
      <c r="R11" s="6" t="str">
        <f>IFERROR(VLOOKUP(C11,[1]DATA!$A$11:$L$40,9,FALSE),"")</f>
        <v>CARTONS</v>
      </c>
      <c r="S11" s="30">
        <f>IFERROR(VLOOKUP(C11,[1]DATA!$A$11:$L$40,10,FALSE),"")</f>
        <v>12</v>
      </c>
      <c r="T11" s="63" t="str">
        <f>IFERROR(VLOOKUP(C11,[1]DATA!$A$11:$L$40,11,FALSE),"")</f>
        <v>30%</v>
      </c>
      <c r="U11" s="32" t="str">
        <f>IFERROR(VLOOKUP(C11,[1]DATA!$A$11:$L$40,12,FALSE),"")</f>
        <v>GUANGXI HENGMAI TRADING CO., LTD.</v>
      </c>
      <c r="V11" s="6" t="s">
        <v>221</v>
      </c>
      <c r="W11" s="6" t="s">
        <v>221</v>
      </c>
      <c r="X11" s="6" t="s">
        <v>192</v>
      </c>
      <c r="Y11" s="6" t="s">
        <v>222</v>
      </c>
      <c r="Z11" s="60">
        <v>45406</v>
      </c>
      <c r="AA11" s="60" t="s">
        <v>223</v>
      </c>
      <c r="AB11" s="64">
        <v>45411</v>
      </c>
      <c r="AC11" s="64">
        <v>45414</v>
      </c>
      <c r="AD11" s="6" t="s">
        <v>24</v>
      </c>
      <c r="AE11" s="6" t="s">
        <v>224</v>
      </c>
      <c r="AF11" s="65" t="s">
        <v>194</v>
      </c>
      <c r="AG11" s="65" t="s">
        <v>1805</v>
      </c>
      <c r="AH11" s="65" t="s">
        <v>1806</v>
      </c>
      <c r="AI11" s="65" t="s">
        <v>1807</v>
      </c>
      <c r="AJ11" s="65" t="s">
        <v>197</v>
      </c>
      <c r="AK11" s="66">
        <v>45406</v>
      </c>
      <c r="AL11" s="66">
        <v>45407</v>
      </c>
      <c r="AM11" s="66"/>
      <c r="AN11" s="68"/>
      <c r="AO11" s="67">
        <f t="shared" si="2"/>
        <v>-113522500</v>
      </c>
      <c r="AP11" s="67">
        <f t="shared" si="0"/>
        <v>-113522500</v>
      </c>
      <c r="AQ11" s="59"/>
      <c r="AV11" s="588">
        <v>45753.784490740742</v>
      </c>
    </row>
    <row r="12" spans="1:48" ht="18" customHeight="1">
      <c r="A12" s="6" t="s">
        <v>1808</v>
      </c>
      <c r="B12" s="60">
        <v>45407</v>
      </c>
      <c r="C12" s="6" t="s">
        <v>123</v>
      </c>
      <c r="D12" s="30">
        <v>1</v>
      </c>
      <c r="E12" s="6" t="s">
        <v>1809</v>
      </c>
      <c r="F12" s="6" t="s">
        <v>225</v>
      </c>
      <c r="G12" s="6" t="str">
        <f t="shared" si="1"/>
        <v>FBIU5337749</v>
      </c>
      <c r="H12" s="6" t="str">
        <f>IFERROR(VLOOKUP(C12,[1]DATA!$A$11:$L$40,3,FALSE),"")</f>
        <v>FRESH DURIAN</v>
      </c>
      <c r="I12" s="9" t="s">
        <v>1810</v>
      </c>
      <c r="J12" s="7" t="s">
        <v>1811</v>
      </c>
      <c r="K12" s="33" t="s">
        <v>1812</v>
      </c>
      <c r="L12" s="62" t="s">
        <v>1808</v>
      </c>
      <c r="M12" s="37" t="str">
        <f>IFERROR(VLOOKUP(C12,[1]DATA!$A$11:$L$40,4,FALSE),"")</f>
        <v>5.00</v>
      </c>
      <c r="N12" s="28">
        <f>IFERROR(VLOOKUP(C12,[1]DATA!$A$11:$L$40,5,FALSE),"")</f>
        <v>4.5999999999999996</v>
      </c>
      <c r="O12" s="28">
        <f>IFERROR(VLOOKUP(C12,[1]DATA!$A$11:$L$40,6,FALSE),"")</f>
        <v>19</v>
      </c>
      <c r="P12" s="28">
        <f>IFERROR(VLOOKUP(C12,[1]DATA!$A$11:$L$40,7,FALSE),"")</f>
        <v>17</v>
      </c>
      <c r="Q12" s="29">
        <f>IFERROR(VLOOKUP(C12,[1]DATA!$A$11:$L$40,8,FALSE),"")</f>
        <v>960</v>
      </c>
      <c r="R12" s="6" t="str">
        <f>IFERROR(VLOOKUP(C12,[1]DATA!$A$11:$L$40,9,FALSE),"")</f>
        <v>CARTONS</v>
      </c>
      <c r="S12" s="30">
        <f>IFERROR(VLOOKUP(C12,[1]DATA!$A$11:$L$40,10,FALSE),"")</f>
        <v>13</v>
      </c>
      <c r="T12" s="63" t="str">
        <f>IFERROR(VLOOKUP(C12,[1]DATA!$A$11:$L$40,11,FALSE),"")</f>
        <v>30%</v>
      </c>
      <c r="U12" s="32" t="str">
        <f>IFERROR(VLOOKUP(C12,[1]DATA!$A$11:$L$40,12,FALSE),"")</f>
        <v>BEIJING JUNYAO INTERNATIONAL</v>
      </c>
      <c r="V12" s="6" t="s">
        <v>190</v>
      </c>
      <c r="W12" s="6" t="s">
        <v>211</v>
      </c>
      <c r="X12" s="6" t="s">
        <v>192</v>
      </c>
      <c r="Y12" s="6" t="s">
        <v>212</v>
      </c>
      <c r="Z12" s="60">
        <v>45406</v>
      </c>
      <c r="AA12" s="60" t="s">
        <v>1813</v>
      </c>
      <c r="AB12" s="64">
        <v>45410</v>
      </c>
      <c r="AC12" s="64">
        <v>45415</v>
      </c>
      <c r="AD12" s="6" t="s">
        <v>24</v>
      </c>
      <c r="AE12" s="6" t="s">
        <v>213</v>
      </c>
      <c r="AF12" s="65" t="s">
        <v>1814</v>
      </c>
      <c r="AG12" s="65" t="s">
        <v>1815</v>
      </c>
      <c r="AH12" s="65" t="s">
        <v>1816</v>
      </c>
      <c r="AI12" s="65" t="s">
        <v>1817</v>
      </c>
      <c r="AJ12" s="65" t="s">
        <v>197</v>
      </c>
      <c r="AK12" s="66">
        <v>45407</v>
      </c>
      <c r="AL12" s="66">
        <v>45408</v>
      </c>
      <c r="AM12" s="66"/>
      <c r="AN12" s="68"/>
      <c r="AO12" s="67">
        <f t="shared" si="2"/>
        <v>-113522500</v>
      </c>
      <c r="AP12" s="67">
        <f t="shared" si="0"/>
        <v>-113522500</v>
      </c>
      <c r="AQ12" s="59"/>
      <c r="AV12" s="588">
        <v>45753.784490740742</v>
      </c>
    </row>
    <row r="13" spans="1:48" ht="18" customHeight="1">
      <c r="A13" s="6" t="s">
        <v>1818</v>
      </c>
      <c r="B13" s="60">
        <v>45407</v>
      </c>
      <c r="C13" s="6" t="s">
        <v>96</v>
      </c>
      <c r="D13" s="30">
        <v>2</v>
      </c>
      <c r="E13" s="6" t="s">
        <v>226</v>
      </c>
      <c r="F13" s="6" t="s">
        <v>227</v>
      </c>
      <c r="G13" s="6" t="str">
        <f t="shared" si="1"/>
        <v>SEKU9097533</v>
      </c>
      <c r="H13" s="6" t="str">
        <f>IFERROR(VLOOKUP(C13,[1]DATA!$A$11:$L$40,3,FALSE),"")</f>
        <v>FRESH DURIAN</v>
      </c>
      <c r="I13" s="9" t="s">
        <v>1819</v>
      </c>
      <c r="J13" s="7" t="s">
        <v>1820</v>
      </c>
      <c r="K13" s="7" t="s">
        <v>1821</v>
      </c>
      <c r="L13" s="62" t="s">
        <v>1818</v>
      </c>
      <c r="M13" s="37" t="str">
        <f>IFERROR(VLOOKUP(C13,[1]DATA!$A$11:$L$40,4,FALSE),"")</f>
        <v>5.00</v>
      </c>
      <c r="N13" s="28">
        <f>IFERROR(VLOOKUP(C13,[1]DATA!$A$11:$L$40,5,FALSE),"")</f>
        <v>4.5999999999999996</v>
      </c>
      <c r="O13" s="28">
        <f>IFERROR(VLOOKUP(C13,[1]DATA!$A$11:$L$40,6,FALSE),"")</f>
        <v>20</v>
      </c>
      <c r="P13" s="28">
        <f>IFERROR(VLOOKUP(C13,[1]DATA!$A$11:$L$40,7,FALSE),"")</f>
        <v>18</v>
      </c>
      <c r="Q13" s="29">
        <f>IFERROR(VLOOKUP(C13,[1]DATA!$A$11:$L$40,8,FALSE),"")</f>
        <v>960</v>
      </c>
      <c r="R13" s="6" t="str">
        <f>IFERROR(VLOOKUP(C13,[1]DATA!$A$11:$L$40,9,FALSE),"")</f>
        <v>CARTONS</v>
      </c>
      <c r="S13" s="30">
        <f>IFERROR(VLOOKUP(C13,[1]DATA!$A$11:$L$40,10,FALSE),"")</f>
        <v>14</v>
      </c>
      <c r="T13" s="69" t="s">
        <v>77</v>
      </c>
      <c r="U13" s="32" t="str">
        <f>IFERROR(VLOOKUP(C13,[1]DATA!$A$11:$L$40,12,FALSE),"")</f>
        <v>BEIJING JUNYAO INTERNATIONAL</v>
      </c>
      <c r="V13" s="6" t="s">
        <v>190</v>
      </c>
      <c r="W13" s="6" t="s">
        <v>211</v>
      </c>
      <c r="X13" s="6" t="s">
        <v>192</v>
      </c>
      <c r="Y13" s="6" t="s">
        <v>212</v>
      </c>
      <c r="Z13" s="60">
        <v>45406</v>
      </c>
      <c r="AA13" s="60" t="s">
        <v>1813</v>
      </c>
      <c r="AB13" s="64">
        <v>45410</v>
      </c>
      <c r="AC13" s="64">
        <v>45415</v>
      </c>
      <c r="AD13" s="6" t="s">
        <v>24</v>
      </c>
      <c r="AE13" s="6" t="s">
        <v>213</v>
      </c>
      <c r="AF13" s="65" t="s">
        <v>228</v>
      </c>
      <c r="AG13" s="65" t="s">
        <v>1822</v>
      </c>
      <c r="AH13" s="65" t="s">
        <v>229</v>
      </c>
      <c r="AI13" s="65" t="s">
        <v>1823</v>
      </c>
      <c r="AJ13" s="65" t="s">
        <v>197</v>
      </c>
      <c r="AK13" s="66">
        <v>45407</v>
      </c>
      <c r="AL13" s="66">
        <v>45408</v>
      </c>
      <c r="AM13" s="66"/>
      <c r="AN13" s="68"/>
      <c r="AO13" s="67">
        <f t="shared" si="2"/>
        <v>-113522500</v>
      </c>
      <c r="AP13" s="67">
        <f t="shared" si="0"/>
        <v>-113522500</v>
      </c>
      <c r="AQ13" s="59"/>
      <c r="AV13" s="588">
        <v>45753.784490740742</v>
      </c>
    </row>
    <row r="14" spans="1:48" ht="18" customHeight="1">
      <c r="A14" s="6" t="s">
        <v>1824</v>
      </c>
      <c r="B14" s="60">
        <v>45407</v>
      </c>
      <c r="C14" s="6" t="s">
        <v>96</v>
      </c>
      <c r="D14" s="30">
        <v>1</v>
      </c>
      <c r="E14" s="6" t="s">
        <v>226</v>
      </c>
      <c r="F14" s="6" t="s">
        <v>227</v>
      </c>
      <c r="G14" s="70" t="str">
        <f t="shared" si="1"/>
        <v>FBIU5337862</v>
      </c>
      <c r="H14" s="6" t="str">
        <f>IFERROR(VLOOKUP(C14,[1]DATA!$A$11:$L$40,3,FALSE),"")</f>
        <v>FRESH DURIAN</v>
      </c>
      <c r="I14" s="9" t="s">
        <v>1825</v>
      </c>
      <c r="J14" s="15" t="s">
        <v>1826</v>
      </c>
      <c r="K14" s="7" t="s">
        <v>1827</v>
      </c>
      <c r="L14" s="62" t="s">
        <v>1824</v>
      </c>
      <c r="M14" s="37" t="str">
        <f>IFERROR(VLOOKUP(C14,[1]DATA!$A$11:$L$40,4,FALSE),"")</f>
        <v>5.00</v>
      </c>
      <c r="N14" s="28">
        <f>IFERROR(VLOOKUP(C14,[1]DATA!$A$11:$L$40,5,FALSE),"")</f>
        <v>4.5999999999999996</v>
      </c>
      <c r="O14" s="28">
        <v>19</v>
      </c>
      <c r="P14" s="28">
        <v>17</v>
      </c>
      <c r="Q14" s="29">
        <f>IFERROR(VLOOKUP(C14,[1]DATA!$A$11:$L$40,8,FALSE),"")</f>
        <v>960</v>
      </c>
      <c r="R14" s="6" t="str">
        <f>IFERROR(VLOOKUP(C14,[1]DATA!$A$11:$L$40,9,FALSE),"")</f>
        <v>CARTONS</v>
      </c>
      <c r="S14" s="30">
        <f>IFERROR(VLOOKUP(C14,[1]DATA!$A$11:$L$40,10,FALSE),"")</f>
        <v>14</v>
      </c>
      <c r="T14" s="69" t="s">
        <v>77</v>
      </c>
      <c r="U14" s="32" t="str">
        <f>IFERROR(VLOOKUP(C14,[1]DATA!$A$11:$L$40,12,FALSE),"")</f>
        <v>BEIJING JUNYAO INTERNATIONAL</v>
      </c>
      <c r="V14" s="6" t="s">
        <v>190</v>
      </c>
      <c r="W14" s="6" t="s">
        <v>211</v>
      </c>
      <c r="X14" s="6" t="s">
        <v>192</v>
      </c>
      <c r="Y14" s="6" t="s">
        <v>212</v>
      </c>
      <c r="Z14" s="60">
        <v>45406</v>
      </c>
      <c r="AA14" s="60" t="s">
        <v>1813</v>
      </c>
      <c r="AB14" s="64">
        <v>45410</v>
      </c>
      <c r="AC14" s="64">
        <v>45415</v>
      </c>
      <c r="AD14" s="6" t="s">
        <v>24</v>
      </c>
      <c r="AE14" s="6" t="s">
        <v>213</v>
      </c>
      <c r="AF14" s="65" t="s">
        <v>230</v>
      </c>
      <c r="AG14" s="65" t="s">
        <v>1828</v>
      </c>
      <c r="AH14" s="65" t="s">
        <v>1829</v>
      </c>
      <c r="AI14" s="65" t="s">
        <v>1830</v>
      </c>
      <c r="AJ14" s="65" t="s">
        <v>197</v>
      </c>
      <c r="AK14" s="66">
        <v>45407</v>
      </c>
      <c r="AL14" s="66">
        <v>45408</v>
      </c>
      <c r="AM14" s="66"/>
      <c r="AN14" s="68"/>
      <c r="AO14" s="67">
        <f t="shared" si="2"/>
        <v>-113522500</v>
      </c>
      <c r="AP14" s="67">
        <f t="shared" si="0"/>
        <v>-113522500</v>
      </c>
      <c r="AQ14" s="59"/>
      <c r="AV14" s="588">
        <v>45753.784490740742</v>
      </c>
    </row>
    <row r="15" spans="1:48" ht="18" customHeight="1">
      <c r="A15" s="6" t="s">
        <v>1831</v>
      </c>
      <c r="B15" s="60">
        <v>45407</v>
      </c>
      <c r="C15" s="6" t="s">
        <v>73</v>
      </c>
      <c r="D15" s="30">
        <v>5</v>
      </c>
      <c r="E15" s="6" t="s">
        <v>1753</v>
      </c>
      <c r="F15" s="6" t="s">
        <v>1754</v>
      </c>
      <c r="G15" s="6" t="str">
        <f t="shared" si="1"/>
        <v>OTPU6310339</v>
      </c>
      <c r="H15" s="6" t="str">
        <f>IFERROR(VLOOKUP(C15,[1]DATA!$A$11:$L$40,3,FALSE),"")</f>
        <v>FRESH DURIAN</v>
      </c>
      <c r="I15" s="9" t="s">
        <v>1832</v>
      </c>
      <c r="J15" s="15" t="s">
        <v>1833</v>
      </c>
      <c r="K15" s="15" t="s">
        <v>1834</v>
      </c>
      <c r="L15" s="62" t="s">
        <v>1831</v>
      </c>
      <c r="M15" s="37" t="str">
        <f>IFERROR(VLOOKUP(C15,[1]DATA!$A$11:$L$40,4,FALSE),"")</f>
        <v>5.00</v>
      </c>
      <c r="N15" s="28">
        <f>IFERROR(VLOOKUP(C15,[1]DATA!$A$11:$L$40,5,FALSE),"")</f>
        <v>4.5999999999999996</v>
      </c>
      <c r="O15" s="28">
        <f>IFERROR(VLOOKUP(C15,[1]DATA!$A$11:$L$40,6,FALSE),"")</f>
        <v>19</v>
      </c>
      <c r="P15" s="28">
        <f>IFERROR(VLOOKUP(C15,[1]DATA!$A$11:$L$40,7,FALSE),"")</f>
        <v>17</v>
      </c>
      <c r="Q15" s="29">
        <f>IFERROR(VLOOKUP(C15,[1]DATA!$A$11:$L$40,8,FALSE),"")</f>
        <v>960</v>
      </c>
      <c r="R15" s="6" t="str">
        <f>IFERROR(VLOOKUP(C15,[1]DATA!$A$11:$L$40,9,FALSE),"")</f>
        <v>CARTONS</v>
      </c>
      <c r="S15" s="30">
        <f>IFERROR(VLOOKUP(C15,[1]DATA!$A$11:$L$40,10,FALSE),"")</f>
        <v>13</v>
      </c>
      <c r="T15" s="63" t="str">
        <f>IFERROR(VLOOKUP(C15,[1]DATA!$A$11:$L$40,11,FALSE),"")</f>
        <v>30%</v>
      </c>
      <c r="U15" s="32" t="str">
        <f>IFERROR(VLOOKUP(C15,[1]DATA!$A$11:$L$40,12,FALSE),"")</f>
        <v>Lion King Supply Chain Management Co., LTD.</v>
      </c>
      <c r="V15" s="6" t="s">
        <v>190</v>
      </c>
      <c r="W15" s="6" t="s">
        <v>198</v>
      </c>
      <c r="X15" s="6" t="s">
        <v>192</v>
      </c>
      <c r="Y15" s="6" t="s">
        <v>231</v>
      </c>
      <c r="Z15" s="60">
        <v>45407</v>
      </c>
      <c r="AA15" s="60" t="s">
        <v>1835</v>
      </c>
      <c r="AB15" s="64">
        <v>45412</v>
      </c>
      <c r="AC15" s="64">
        <v>45415</v>
      </c>
      <c r="AD15" s="6" t="s">
        <v>24</v>
      </c>
      <c r="AE15" s="71" t="s">
        <v>232</v>
      </c>
      <c r="AF15" s="65" t="s">
        <v>201</v>
      </c>
      <c r="AG15" s="65" t="s">
        <v>1836</v>
      </c>
      <c r="AH15" s="65" t="s">
        <v>1837</v>
      </c>
      <c r="AI15" s="65" t="s">
        <v>1838</v>
      </c>
      <c r="AJ15" s="65" t="s">
        <v>197</v>
      </c>
      <c r="AK15" s="66">
        <v>45407</v>
      </c>
      <c r="AL15" s="66">
        <v>45408</v>
      </c>
      <c r="AM15" s="66"/>
      <c r="AN15" s="68"/>
      <c r="AO15" s="67">
        <f t="shared" si="2"/>
        <v>-113525000</v>
      </c>
      <c r="AP15" s="67">
        <f t="shared" si="0"/>
        <v>-113525000</v>
      </c>
      <c r="AQ15" s="59"/>
      <c r="AV15" s="588">
        <v>45753.784490740742</v>
      </c>
    </row>
    <row r="16" spans="1:48" ht="18" customHeight="1">
      <c r="A16" s="6" t="s">
        <v>233</v>
      </c>
      <c r="B16" s="60">
        <v>45407</v>
      </c>
      <c r="C16" s="6" t="s">
        <v>126</v>
      </c>
      <c r="D16" s="30">
        <v>1</v>
      </c>
      <c r="E16" s="6" t="s">
        <v>1839</v>
      </c>
      <c r="F16" s="6" t="s">
        <v>234</v>
      </c>
      <c r="G16" s="6" t="str">
        <f t="shared" si="1"/>
        <v>CGMU5574149</v>
      </c>
      <c r="H16" s="6" t="str">
        <f>IFERROR(VLOOKUP(C16,[1]DATA!$A$11:$L$40,3,FALSE),"")</f>
        <v>FRESH DURIAN</v>
      </c>
      <c r="I16" s="9" t="s">
        <v>1840</v>
      </c>
      <c r="J16" s="7" t="s">
        <v>1841</v>
      </c>
      <c r="K16" s="7" t="s">
        <v>1842</v>
      </c>
      <c r="L16" s="62" t="s">
        <v>233</v>
      </c>
      <c r="M16" s="37" t="str">
        <f>IFERROR(VLOOKUP(C16,[1]DATA!$A$11:$L$40,4,FALSE),"")</f>
        <v>5.00</v>
      </c>
      <c r="N16" s="28">
        <f>IFERROR(VLOOKUP(C16,[1]DATA!$A$11:$L$40,5,FALSE),"")</f>
        <v>4.5999999999999996</v>
      </c>
      <c r="O16" s="28">
        <f>IFERROR(VLOOKUP(C16,[1]DATA!$A$11:$L$40,6,FALSE),"")</f>
        <v>19</v>
      </c>
      <c r="P16" s="28">
        <f>IFERROR(VLOOKUP(C16,[1]DATA!$A$11:$L$40,7,FALSE),"")</f>
        <v>17</v>
      </c>
      <c r="Q16" s="29">
        <f>IFERROR(VLOOKUP(C16,[1]DATA!$A$11:$L$40,8,FALSE),"")</f>
        <v>960</v>
      </c>
      <c r="R16" s="6" t="str">
        <f>IFERROR(VLOOKUP(C16,[1]DATA!$A$11:$L$40,9,FALSE),"")</f>
        <v>CARTONS</v>
      </c>
      <c r="S16" s="30">
        <f>IFERROR(VLOOKUP(C16,[1]DATA!$A$11:$L$40,10,FALSE),"")</f>
        <v>13</v>
      </c>
      <c r="T16" s="63" t="str">
        <f>IFERROR(VLOOKUP(C16,[1]DATA!$A$11:$L$40,11,FALSE),"")</f>
        <v>30%</v>
      </c>
      <c r="U16" s="32" t="str">
        <f>IFERROR(VLOOKUP(C16,[1]DATA!$A$11:$L$40,12,FALSE),"")</f>
        <v xml:space="preserve">NAN TIAN DIGITAL TECHNOLOGY (YUNNAN) CO., LTD. </v>
      </c>
      <c r="V16" s="6" t="s">
        <v>190</v>
      </c>
      <c r="W16" s="6" t="s">
        <v>198</v>
      </c>
      <c r="X16" s="6" t="s">
        <v>192</v>
      </c>
      <c r="Y16" s="6" t="s">
        <v>231</v>
      </c>
      <c r="Z16" s="60">
        <v>45407</v>
      </c>
      <c r="AA16" s="60" t="s">
        <v>1835</v>
      </c>
      <c r="AB16" s="64">
        <v>45412</v>
      </c>
      <c r="AC16" s="64">
        <v>45415</v>
      </c>
      <c r="AD16" s="6" t="s">
        <v>24</v>
      </c>
      <c r="AE16" s="71" t="s">
        <v>232</v>
      </c>
      <c r="AF16" s="65" t="s">
        <v>201</v>
      </c>
      <c r="AG16" s="65" t="s">
        <v>235</v>
      </c>
      <c r="AH16" s="65" t="s">
        <v>203</v>
      </c>
      <c r="AI16" s="65" t="s">
        <v>236</v>
      </c>
      <c r="AJ16" s="65" t="s">
        <v>197</v>
      </c>
      <c r="AK16" s="66">
        <v>45407</v>
      </c>
      <c r="AL16" s="66">
        <v>45408</v>
      </c>
      <c r="AM16" s="66"/>
      <c r="AN16" s="68"/>
      <c r="AO16" s="67">
        <f t="shared" si="2"/>
        <v>-113525000</v>
      </c>
      <c r="AP16" s="67">
        <f t="shared" si="0"/>
        <v>-113525000</v>
      </c>
      <c r="AQ16" s="59"/>
      <c r="AV16" s="588">
        <v>45753.784490740742</v>
      </c>
    </row>
    <row r="17" spans="1:48" ht="18" customHeight="1">
      <c r="A17" s="6" t="s">
        <v>1843</v>
      </c>
      <c r="B17" s="60">
        <v>45407</v>
      </c>
      <c r="C17" s="6" t="s">
        <v>124</v>
      </c>
      <c r="D17" s="651">
        <v>1</v>
      </c>
      <c r="E17" s="6" t="s">
        <v>237</v>
      </c>
      <c r="F17" s="6" t="s">
        <v>238</v>
      </c>
      <c r="G17" s="6" t="str">
        <f t="shared" si="1"/>
        <v>SEKU9259465</v>
      </c>
      <c r="H17" s="6" t="str">
        <f>IFERROR(VLOOKUP(C17,[1]DATA!$A$11:$L$40,3,FALSE),"")</f>
        <v>FRESH DURIAN</v>
      </c>
      <c r="I17" s="9" t="s">
        <v>1844</v>
      </c>
      <c r="J17" s="15" t="s">
        <v>1845</v>
      </c>
      <c r="K17" s="7" t="s">
        <v>1846</v>
      </c>
      <c r="L17" s="62" t="s">
        <v>1843</v>
      </c>
      <c r="M17" s="37" t="s">
        <v>239</v>
      </c>
      <c r="N17" s="37" t="s">
        <v>240</v>
      </c>
      <c r="O17" s="28">
        <v>19.5</v>
      </c>
      <c r="P17" s="28">
        <v>18</v>
      </c>
      <c r="Q17" s="29">
        <v>948</v>
      </c>
      <c r="R17" s="6" t="str">
        <f>IFERROR(VLOOKUP(C17,[1]DATA!$A$11:$L$40,9,FALSE),"")</f>
        <v>CARTONS</v>
      </c>
      <c r="S17" s="30">
        <f>IFERROR(VLOOKUP(C17,[1]DATA!$A$11:$L$40,10,FALSE),"")</f>
        <v>13</v>
      </c>
      <c r="T17" s="63" t="str">
        <f>IFERROR(VLOOKUP(C17,[1]DATA!$A$11:$L$40,11,FALSE),"")</f>
        <v>30%</v>
      </c>
      <c r="U17" s="652" t="s">
        <v>125</v>
      </c>
      <c r="V17" s="6" t="s">
        <v>190</v>
      </c>
      <c r="W17" s="6" t="s">
        <v>198</v>
      </c>
      <c r="X17" s="6" t="s">
        <v>192</v>
      </c>
      <c r="Y17" s="6" t="s">
        <v>231</v>
      </c>
      <c r="Z17" s="60">
        <v>45407</v>
      </c>
      <c r="AA17" s="60" t="s">
        <v>1835</v>
      </c>
      <c r="AB17" s="64">
        <v>45412</v>
      </c>
      <c r="AC17" s="64">
        <v>45415</v>
      </c>
      <c r="AD17" s="6" t="s">
        <v>24</v>
      </c>
      <c r="AE17" s="71" t="s">
        <v>232</v>
      </c>
      <c r="AF17" s="65" t="s">
        <v>201</v>
      </c>
      <c r="AG17" s="65" t="s">
        <v>205</v>
      </c>
      <c r="AH17" s="65" t="s">
        <v>206</v>
      </c>
      <c r="AI17" s="65" t="s">
        <v>207</v>
      </c>
      <c r="AJ17" s="65" t="s">
        <v>197</v>
      </c>
      <c r="AK17" s="66">
        <v>45407</v>
      </c>
      <c r="AL17" s="66">
        <v>45408</v>
      </c>
      <c r="AM17" s="66"/>
      <c r="AN17" s="68"/>
      <c r="AO17" s="67">
        <f t="shared" si="2"/>
        <v>-113525000</v>
      </c>
      <c r="AP17" s="67">
        <f t="shared" si="0"/>
        <v>-113525000</v>
      </c>
      <c r="AQ17" s="59"/>
      <c r="AV17" s="588">
        <v>45753.784490740742</v>
      </c>
    </row>
    <row r="18" spans="1:48" ht="18" customHeight="1">
      <c r="A18" s="72" t="s">
        <v>241</v>
      </c>
      <c r="B18" s="73">
        <v>45407</v>
      </c>
      <c r="C18" s="72" t="s">
        <v>98</v>
      </c>
      <c r="D18" s="74">
        <v>2</v>
      </c>
      <c r="E18" s="72" t="s">
        <v>218</v>
      </c>
      <c r="F18" s="72" t="s">
        <v>219</v>
      </c>
      <c r="G18" s="72" t="str">
        <f t="shared" ref="G18:G30" si="3">J18</f>
        <v>SEGU9946364</v>
      </c>
      <c r="H18" s="72" t="str">
        <f>IFERROR(VLOOKUP(C18,DATA!$A$11:$L$40,3,FALSE),"")</f>
        <v>FRESH DURIAN</v>
      </c>
      <c r="I18" s="75" t="s">
        <v>220</v>
      </c>
      <c r="J18" s="76" t="s">
        <v>242</v>
      </c>
      <c r="K18" s="76" t="s">
        <v>243</v>
      </c>
      <c r="L18" s="77" t="s">
        <v>241</v>
      </c>
      <c r="M18" s="78" t="str">
        <f>IFERROR(VLOOKUP(C18,DATA!$A$11:$L$40,4,FALSE),"")</f>
        <v>5.00</v>
      </c>
      <c r="N18" s="79">
        <f>IFERROR(VLOOKUP(C18,DATA!$A$11:$L$40,5,FALSE),"")</f>
        <v>4.5999999999999996</v>
      </c>
      <c r="O18" s="79">
        <f>IFERROR(VLOOKUP(C18,DATA!$A$11:$L$40,6,FALSE),"")</f>
        <v>20</v>
      </c>
      <c r="P18" s="79">
        <f>IFERROR(VLOOKUP(C18,DATA!$A$11:$L$40,7,FALSE),"")</f>
        <v>18</v>
      </c>
      <c r="Q18" s="80">
        <f>IFERROR(VLOOKUP(C18,DATA!$A$11:$L$40,8,FALSE),"")</f>
        <v>960</v>
      </c>
      <c r="R18" s="72" t="str">
        <f>IFERROR(VLOOKUP(C18,DATA!$A$11:$L$40,9,FALSE),"")</f>
        <v>CARTONS</v>
      </c>
      <c r="S18" s="74">
        <f>IFERROR(VLOOKUP(C18,DATA!$A$11:$L$40,10,FALSE),"")</f>
        <v>12</v>
      </c>
      <c r="T18" s="81" t="str">
        <f>IFERROR(VLOOKUP(C18,DATA!$A$11:$L$40,11,FALSE),"")</f>
        <v>30%</v>
      </c>
      <c r="U18" s="82" t="str">
        <f>IFERROR(VLOOKUP(C18,DATA!$A$11:$L$40,12,FALSE),"")</f>
        <v>GUANGXI HENGMAI TRADING CO., LTD.</v>
      </c>
      <c r="V18" s="72" t="s">
        <v>221</v>
      </c>
      <c r="W18" s="72" t="s">
        <v>221</v>
      </c>
      <c r="X18" s="72" t="s">
        <v>192</v>
      </c>
      <c r="Y18" s="72" t="s">
        <v>222</v>
      </c>
      <c r="Z18" s="73">
        <v>45407</v>
      </c>
      <c r="AA18" s="73" t="s">
        <v>223</v>
      </c>
      <c r="AB18" s="83">
        <v>45411</v>
      </c>
      <c r="AC18" s="83">
        <v>45414</v>
      </c>
      <c r="AD18" s="72" t="s">
        <v>24</v>
      </c>
      <c r="AE18" s="72" t="s">
        <v>224</v>
      </c>
      <c r="AF18" s="72" t="s">
        <v>194</v>
      </c>
      <c r="AG18" s="72" t="s">
        <v>244</v>
      </c>
      <c r="AH18" s="72" t="s">
        <v>245</v>
      </c>
      <c r="AI18" s="72" t="s">
        <v>246</v>
      </c>
      <c r="AJ18" s="72" t="s">
        <v>197</v>
      </c>
      <c r="AK18" s="73">
        <v>45408</v>
      </c>
      <c r="AL18" s="73"/>
      <c r="AM18" s="73"/>
      <c r="AN18" s="84"/>
      <c r="AO18" s="81">
        <f t="shared" ref="AO18:AO61" si="4">((AM18-Z18)-3)*2500</f>
        <v>-113525000</v>
      </c>
      <c r="AP18" s="81">
        <f t="shared" ref="AP18:AP204" si="5">AN18+AO18</f>
        <v>-113525000</v>
      </c>
      <c r="AQ18" s="59"/>
      <c r="AV18" s="588">
        <v>45753.768518518518</v>
      </c>
    </row>
    <row r="19" spans="1:48" ht="18" customHeight="1">
      <c r="A19" s="6" t="s">
        <v>247</v>
      </c>
      <c r="B19" s="60">
        <v>45408</v>
      </c>
      <c r="C19" s="6" t="s">
        <v>81</v>
      </c>
      <c r="D19" s="30">
        <v>5</v>
      </c>
      <c r="E19" s="6" t="s">
        <v>130</v>
      </c>
      <c r="F19" s="6" t="s">
        <v>200</v>
      </c>
      <c r="G19" s="6" t="str">
        <f t="shared" si="3"/>
        <v>FBIU5111181</v>
      </c>
      <c r="H19" s="6" t="str">
        <f>IFERROR(VLOOKUP(C19,DATA!$A$11:$L$40,3,FALSE),"")</f>
        <v>FRESH DURIAN</v>
      </c>
      <c r="I19" s="7" t="s">
        <v>248</v>
      </c>
      <c r="J19" s="7" t="s">
        <v>249</v>
      </c>
      <c r="K19" s="7" t="s">
        <v>250</v>
      </c>
      <c r="L19" s="62" t="s">
        <v>247</v>
      </c>
      <c r="M19" s="37" t="str">
        <f>IFERROR(VLOOKUP(C19,DATA!$A$11:$L$40,4,FALSE),"")</f>
        <v>5.00</v>
      </c>
      <c r="N19" s="28">
        <f>IFERROR(VLOOKUP(C19,DATA!$A$11:$L$40,5,FALSE),"")</f>
        <v>4.5999999999999996</v>
      </c>
      <c r="O19" s="28">
        <f>IFERROR(VLOOKUP(C19,DATA!$A$11:$L$40,6,FALSE),"")</f>
        <v>19</v>
      </c>
      <c r="P19" s="28">
        <f>IFERROR(VLOOKUP(C19,DATA!$A$11:$L$40,7,FALSE),"")</f>
        <v>17</v>
      </c>
      <c r="Q19" s="29">
        <f>IFERROR(VLOOKUP(C19,DATA!$A$11:$L$40,8,FALSE),"")</f>
        <v>960</v>
      </c>
      <c r="R19" s="6" t="str">
        <f>IFERROR(VLOOKUP(C19,DATA!$A$11:$L$40,9,FALSE),"")</f>
        <v>CARTONS</v>
      </c>
      <c r="S19" s="30">
        <f>IFERROR(VLOOKUP(C19,DATA!$A$11:$L$40,10,FALSE),"")</f>
        <v>13</v>
      </c>
      <c r="T19" s="63" t="str">
        <f>IFERROR(VLOOKUP(C19,DATA!$A$11:$L$40,11,FALSE),"")</f>
        <v>30%</v>
      </c>
      <c r="U19" s="32" t="str">
        <f>IFERROR(VLOOKUP(C19,DATA!$A$11:$L$40,12,FALSE),"")</f>
        <v>BEIJING JUNYAO INTERNATIONAL</v>
      </c>
      <c r="V19" s="6" t="s">
        <v>190</v>
      </c>
      <c r="W19" s="71" t="s">
        <v>211</v>
      </c>
      <c r="X19" s="6" t="s">
        <v>192</v>
      </c>
      <c r="Y19" s="6" t="s">
        <v>212</v>
      </c>
      <c r="Z19" s="60">
        <v>45408</v>
      </c>
      <c r="AA19" s="60" t="s">
        <v>251</v>
      </c>
      <c r="AB19" s="64">
        <v>45410</v>
      </c>
      <c r="AC19" s="64">
        <v>45415</v>
      </c>
      <c r="AD19" s="6" t="s">
        <v>24</v>
      </c>
      <c r="AE19" s="6" t="s">
        <v>213</v>
      </c>
      <c r="AF19" s="65" t="s">
        <v>252</v>
      </c>
      <c r="AG19" s="65" t="s">
        <v>253</v>
      </c>
      <c r="AH19" s="65" t="s">
        <v>254</v>
      </c>
      <c r="AI19" s="65" t="s">
        <v>255</v>
      </c>
      <c r="AJ19" s="65" t="s">
        <v>197</v>
      </c>
      <c r="AK19" s="66">
        <v>45408</v>
      </c>
      <c r="AL19" s="66">
        <v>45409</v>
      </c>
      <c r="AM19" s="66"/>
      <c r="AN19" s="68"/>
      <c r="AO19" s="67">
        <f t="shared" si="4"/>
        <v>-113527500</v>
      </c>
      <c r="AP19" s="67">
        <f t="shared" si="5"/>
        <v>-113527500</v>
      </c>
      <c r="AQ19" s="59"/>
      <c r="AV19" s="588">
        <v>45753.768518518518</v>
      </c>
    </row>
    <row r="20" spans="1:48" ht="18" customHeight="1">
      <c r="A20" s="6" t="s">
        <v>256</v>
      </c>
      <c r="B20" s="60">
        <v>45408</v>
      </c>
      <c r="C20" s="6" t="s">
        <v>81</v>
      </c>
      <c r="D20" s="30">
        <v>6</v>
      </c>
      <c r="E20" s="6" t="s">
        <v>130</v>
      </c>
      <c r="F20" s="6" t="s">
        <v>200</v>
      </c>
      <c r="G20" s="6" t="str">
        <f t="shared" si="3"/>
        <v>SEGU9697723</v>
      </c>
      <c r="H20" s="6" t="str">
        <f>IFERROR(VLOOKUP(C20,DATA!$A$11:$L$40,3,FALSE),"")</f>
        <v>FRESH DURIAN</v>
      </c>
      <c r="I20" s="7" t="s">
        <v>257</v>
      </c>
      <c r="J20" s="7" t="s">
        <v>258</v>
      </c>
      <c r="K20" s="7" t="s">
        <v>259</v>
      </c>
      <c r="L20" s="62" t="s">
        <v>256</v>
      </c>
      <c r="M20" s="37" t="str">
        <f>IFERROR(VLOOKUP(C20,DATA!$A$11:$L$40,4,FALSE),"")</f>
        <v>5.00</v>
      </c>
      <c r="N20" s="28">
        <f>IFERROR(VLOOKUP(C20,DATA!$A$11:$L$40,5,FALSE),"")</f>
        <v>4.5999999999999996</v>
      </c>
      <c r="O20" s="28">
        <f>IFERROR(VLOOKUP(C20,DATA!$A$11:$L$40,6,FALSE),"")</f>
        <v>19</v>
      </c>
      <c r="P20" s="28">
        <f>IFERROR(VLOOKUP(C20,DATA!$A$11:$L$40,7,FALSE),"")</f>
        <v>17</v>
      </c>
      <c r="Q20" s="29">
        <f>IFERROR(VLOOKUP(C20,DATA!$A$11:$L$40,8,FALSE),"")</f>
        <v>960</v>
      </c>
      <c r="R20" s="6" t="str">
        <f>IFERROR(VLOOKUP(C20,DATA!$A$11:$L$40,9,FALSE),"")</f>
        <v>CARTONS</v>
      </c>
      <c r="S20" s="30">
        <f>IFERROR(VLOOKUP(C20,DATA!$A$11:$L$40,10,FALSE),"")</f>
        <v>13</v>
      </c>
      <c r="T20" s="63" t="str">
        <f>IFERROR(VLOOKUP(C20,DATA!$A$11:$L$40,11,FALSE),"")</f>
        <v>30%</v>
      </c>
      <c r="U20" s="32" t="str">
        <f>IFERROR(VLOOKUP(C20,DATA!$A$11:$L$40,12,FALSE),"")</f>
        <v>BEIJING JUNYAO INTERNATIONAL</v>
      </c>
      <c r="V20" s="6" t="s">
        <v>190</v>
      </c>
      <c r="W20" s="71" t="s">
        <v>211</v>
      </c>
      <c r="X20" s="6" t="s">
        <v>192</v>
      </c>
      <c r="Y20" s="6" t="s">
        <v>212</v>
      </c>
      <c r="Z20" s="60">
        <v>45408</v>
      </c>
      <c r="AA20" s="60" t="s">
        <v>251</v>
      </c>
      <c r="AB20" s="64">
        <v>45410</v>
      </c>
      <c r="AC20" s="64">
        <v>45415</v>
      </c>
      <c r="AD20" s="6" t="s">
        <v>24</v>
      </c>
      <c r="AE20" s="6" t="s">
        <v>213</v>
      </c>
      <c r="AF20" s="65" t="s">
        <v>252</v>
      </c>
      <c r="AG20" s="65" t="s">
        <v>260</v>
      </c>
      <c r="AH20" s="65" t="s">
        <v>261</v>
      </c>
      <c r="AI20" s="65" t="s">
        <v>262</v>
      </c>
      <c r="AJ20" s="65" t="s">
        <v>197</v>
      </c>
      <c r="AK20" s="66">
        <v>45408</v>
      </c>
      <c r="AL20" s="66">
        <v>45409</v>
      </c>
      <c r="AM20" s="66"/>
      <c r="AN20" s="68"/>
      <c r="AO20" s="67">
        <f t="shared" si="4"/>
        <v>-113527500</v>
      </c>
      <c r="AP20" s="67">
        <f t="shared" si="5"/>
        <v>-113527500</v>
      </c>
      <c r="AQ20" s="59"/>
      <c r="AV20" s="588">
        <v>45753.768518518518</v>
      </c>
    </row>
    <row r="21" spans="1:48" ht="18" customHeight="1">
      <c r="A21" s="6" t="s">
        <v>263</v>
      </c>
      <c r="B21" s="60">
        <v>45408</v>
      </c>
      <c r="C21" s="6" t="s">
        <v>81</v>
      </c>
      <c r="D21" s="30">
        <v>7</v>
      </c>
      <c r="E21" s="6" t="s">
        <v>130</v>
      </c>
      <c r="F21" s="6" t="s">
        <v>200</v>
      </c>
      <c r="G21" s="6" t="str">
        <f t="shared" si="3"/>
        <v>FBIU5337287</v>
      </c>
      <c r="H21" s="6" t="str">
        <f>IFERROR(VLOOKUP(C21,DATA!$A$11:$L$40,3,FALSE),"")</f>
        <v>FRESH DURIAN</v>
      </c>
      <c r="I21" s="7" t="s">
        <v>264</v>
      </c>
      <c r="J21" s="7" t="s">
        <v>265</v>
      </c>
      <c r="K21" s="33" t="s">
        <v>266</v>
      </c>
      <c r="L21" s="62" t="s">
        <v>263</v>
      </c>
      <c r="M21" s="37" t="str">
        <f>IFERROR(VLOOKUP(C21,DATA!$A$11:$L$40,4,FALSE),"")</f>
        <v>5.00</v>
      </c>
      <c r="N21" s="28">
        <f>IFERROR(VLOOKUP(C21,DATA!$A$11:$L$40,5,FALSE),"")</f>
        <v>4.5999999999999996</v>
      </c>
      <c r="O21" s="28">
        <f>IFERROR(VLOOKUP(C21,DATA!$A$11:$L$40,6,FALSE),"")</f>
        <v>19</v>
      </c>
      <c r="P21" s="28">
        <f>IFERROR(VLOOKUP(C21,DATA!$A$11:$L$40,7,FALSE),"")</f>
        <v>17</v>
      </c>
      <c r="Q21" s="29">
        <f>IFERROR(VLOOKUP(C21,DATA!$A$11:$L$40,8,FALSE),"")</f>
        <v>960</v>
      </c>
      <c r="R21" s="6" t="str">
        <f>IFERROR(VLOOKUP(C21,DATA!$A$11:$L$40,9,FALSE),"")</f>
        <v>CARTONS</v>
      </c>
      <c r="S21" s="30">
        <f>IFERROR(VLOOKUP(C21,DATA!$A$11:$L$40,10,FALSE),"")</f>
        <v>13</v>
      </c>
      <c r="T21" s="63" t="str">
        <f>IFERROR(VLOOKUP(C21,DATA!$A$11:$L$40,11,FALSE),"")</f>
        <v>30%</v>
      </c>
      <c r="U21" s="32" t="str">
        <f>IFERROR(VLOOKUP(C21,DATA!$A$11:$L$40,12,FALSE),"")</f>
        <v>BEIJING JUNYAO INTERNATIONAL</v>
      </c>
      <c r="V21" s="6" t="s">
        <v>190</v>
      </c>
      <c r="W21" s="71" t="s">
        <v>211</v>
      </c>
      <c r="X21" s="6" t="s">
        <v>192</v>
      </c>
      <c r="Y21" s="6" t="s">
        <v>212</v>
      </c>
      <c r="Z21" s="60">
        <v>45408</v>
      </c>
      <c r="AA21" s="60" t="s">
        <v>251</v>
      </c>
      <c r="AB21" s="64">
        <v>45410</v>
      </c>
      <c r="AC21" s="64">
        <v>45415</v>
      </c>
      <c r="AD21" s="6" t="s">
        <v>24</v>
      </c>
      <c r="AE21" s="6" t="s">
        <v>213</v>
      </c>
      <c r="AF21" s="65" t="s">
        <v>252</v>
      </c>
      <c r="AG21" s="65" t="s">
        <v>267</v>
      </c>
      <c r="AH21" s="65" t="s">
        <v>268</v>
      </c>
      <c r="AI21" s="65" t="s">
        <v>269</v>
      </c>
      <c r="AJ21" s="65" t="s">
        <v>197</v>
      </c>
      <c r="AK21" s="66">
        <v>45408</v>
      </c>
      <c r="AL21" s="66">
        <v>45409</v>
      </c>
      <c r="AM21" s="66"/>
      <c r="AN21" s="68"/>
      <c r="AO21" s="67">
        <f t="shared" si="4"/>
        <v>-113527500</v>
      </c>
      <c r="AP21" s="67">
        <f t="shared" si="5"/>
        <v>-113527500</v>
      </c>
      <c r="AQ21" s="59"/>
      <c r="AV21" s="588">
        <v>45753.768518518518</v>
      </c>
    </row>
    <row r="22" spans="1:48" ht="18" customHeight="1">
      <c r="A22" s="6" t="s">
        <v>270</v>
      </c>
      <c r="B22" s="60">
        <v>45408</v>
      </c>
      <c r="C22" s="6" t="s">
        <v>96</v>
      </c>
      <c r="D22" s="30">
        <v>3</v>
      </c>
      <c r="E22" s="6" t="s">
        <v>130</v>
      </c>
      <c r="F22" s="6" t="s">
        <v>200</v>
      </c>
      <c r="G22" s="6" t="str">
        <f t="shared" si="3"/>
        <v>SEKU9159450</v>
      </c>
      <c r="H22" s="6" t="str">
        <f>IFERROR(VLOOKUP(C22,DATA!$A$11:$L$40,3,FALSE),"")</f>
        <v>FRESH DURIAN</v>
      </c>
      <c r="I22" s="7" t="s">
        <v>271</v>
      </c>
      <c r="J22" s="7" t="s">
        <v>272</v>
      </c>
      <c r="K22" s="33" t="s">
        <v>273</v>
      </c>
      <c r="L22" s="62" t="s">
        <v>270</v>
      </c>
      <c r="M22" s="37" t="str">
        <f>IFERROR(VLOOKUP(C22,DATA!$A$11:$L$40,4,FALSE),"")</f>
        <v>5.00</v>
      </c>
      <c r="N22" s="28">
        <f>IFERROR(VLOOKUP(C22,DATA!$A$11:$L$40,5,FALSE),"")</f>
        <v>4.5999999999999996</v>
      </c>
      <c r="O22" s="28">
        <f>IFERROR(VLOOKUP(C22,DATA!$A$11:$L$40,6,FALSE),"")</f>
        <v>20</v>
      </c>
      <c r="P22" s="28">
        <f>IFERROR(VLOOKUP(C22,DATA!$A$11:$L$40,7,FALSE),"")</f>
        <v>18</v>
      </c>
      <c r="Q22" s="29">
        <f>IFERROR(VLOOKUP(C22,DATA!$A$11:$L$40,8,FALSE),"")</f>
        <v>960</v>
      </c>
      <c r="R22" s="6" t="str">
        <f>IFERROR(VLOOKUP(C22,DATA!$A$11:$L$40,9,FALSE),"")</f>
        <v>CARTONS</v>
      </c>
      <c r="S22" s="30">
        <f>IFERROR(VLOOKUP(C22,DATA!$A$11:$L$40,10,FALSE),"")</f>
        <v>14</v>
      </c>
      <c r="T22" s="63" t="str">
        <f>IFERROR(VLOOKUP(C22,DATA!$A$11:$L$40,11,FALSE),"")</f>
        <v>35%</v>
      </c>
      <c r="U22" s="32" t="str">
        <f>IFERROR(VLOOKUP(C22,DATA!$A$11:$L$40,12,FALSE),"")</f>
        <v>BEIJING JUNYAO INTERNATIONAL</v>
      </c>
      <c r="V22" s="6" t="s">
        <v>190</v>
      </c>
      <c r="W22" s="71" t="s">
        <v>211</v>
      </c>
      <c r="X22" s="6" t="s">
        <v>192</v>
      </c>
      <c r="Y22" s="6" t="s">
        <v>212</v>
      </c>
      <c r="Z22" s="60">
        <v>45408</v>
      </c>
      <c r="AA22" s="60" t="s">
        <v>251</v>
      </c>
      <c r="AB22" s="64">
        <v>45410</v>
      </c>
      <c r="AC22" s="64">
        <v>45415</v>
      </c>
      <c r="AD22" s="6" t="s">
        <v>24</v>
      </c>
      <c r="AE22" s="6" t="s">
        <v>213</v>
      </c>
      <c r="AF22" s="65" t="s">
        <v>274</v>
      </c>
      <c r="AG22" s="65" t="s">
        <v>275</v>
      </c>
      <c r="AH22" s="65" t="s">
        <v>276</v>
      </c>
      <c r="AI22" s="65" t="s">
        <v>277</v>
      </c>
      <c r="AJ22" s="65" t="s">
        <v>197</v>
      </c>
      <c r="AK22" s="66">
        <v>45408</v>
      </c>
      <c r="AL22" s="66">
        <v>45409</v>
      </c>
      <c r="AM22" s="66"/>
      <c r="AN22" s="68"/>
      <c r="AO22" s="67">
        <f t="shared" si="4"/>
        <v>-113527500</v>
      </c>
      <c r="AP22" s="67">
        <f t="shared" si="5"/>
        <v>-113527500</v>
      </c>
      <c r="AQ22" s="59"/>
      <c r="AV22" s="588">
        <v>45753.768518518518</v>
      </c>
    </row>
    <row r="23" spans="1:48" ht="18" customHeight="1">
      <c r="A23" s="72" t="s">
        <v>278</v>
      </c>
      <c r="B23" s="73">
        <v>45408</v>
      </c>
      <c r="C23" s="72" t="s">
        <v>279</v>
      </c>
      <c r="D23" s="74">
        <v>4</v>
      </c>
      <c r="E23" s="72"/>
      <c r="F23" s="72" t="s">
        <v>227</v>
      </c>
      <c r="G23" s="72" t="str">
        <f t="shared" si="3"/>
        <v>SEKU9089610</v>
      </c>
      <c r="H23" s="72" t="str">
        <f>IFERROR(VLOOKUP(C23,DATA!$A$11:$L$40,3,FALSE),"")</f>
        <v/>
      </c>
      <c r="I23" s="76" t="s">
        <v>280</v>
      </c>
      <c r="J23" s="76" t="s">
        <v>281</v>
      </c>
      <c r="K23" s="85" t="s">
        <v>282</v>
      </c>
      <c r="L23" s="77" t="s">
        <v>278</v>
      </c>
      <c r="M23" s="78" t="str">
        <f>IFERROR(VLOOKUP(C23,DATA!$A$11:$L$40,4,FALSE),"")</f>
        <v/>
      </c>
      <c r="N23" s="79" t="str">
        <f>IFERROR(VLOOKUP(C23,DATA!$A$11:$L$40,5,FALSE),"")</f>
        <v/>
      </c>
      <c r="O23" s="79" t="str">
        <f>IFERROR(VLOOKUP(C23,DATA!$A$11:$L$40,6,FALSE),"")</f>
        <v/>
      </c>
      <c r="P23" s="79" t="str">
        <f>IFERROR(VLOOKUP(C23,DATA!$A$11:$L$40,7,FALSE),"")</f>
        <v/>
      </c>
      <c r="Q23" s="80" t="str">
        <f>IFERROR(VLOOKUP(C23,DATA!$A$11:$L$40,8,FALSE),"")</f>
        <v/>
      </c>
      <c r="R23" s="72" t="str">
        <f>IFERROR(VLOOKUP(C23,DATA!$A$11:$L$40,9,FALSE),"")</f>
        <v/>
      </c>
      <c r="S23" s="74" t="str">
        <f>IFERROR(VLOOKUP(C23,DATA!$A$11:$L$40,10,FALSE),"")</f>
        <v/>
      </c>
      <c r="T23" s="81" t="str">
        <f>IFERROR(VLOOKUP(C23,DATA!$A$11:$L$40,11,FALSE),"")</f>
        <v/>
      </c>
      <c r="U23" s="82" t="str">
        <f>IFERROR(VLOOKUP(C23,DATA!$A$11:$L$40,12,FALSE),"")</f>
        <v/>
      </c>
      <c r="V23" s="72" t="s">
        <v>190</v>
      </c>
      <c r="W23" s="86" t="s">
        <v>211</v>
      </c>
      <c r="X23" s="72" t="s">
        <v>192</v>
      </c>
      <c r="Y23" s="72" t="s">
        <v>212</v>
      </c>
      <c r="Z23" s="73">
        <v>45408</v>
      </c>
      <c r="AA23" s="73" t="s">
        <v>283</v>
      </c>
      <c r="AB23" s="83">
        <v>45416</v>
      </c>
      <c r="AC23" s="83">
        <v>45420</v>
      </c>
      <c r="AD23" s="72" t="s">
        <v>24</v>
      </c>
      <c r="AE23" s="72" t="s">
        <v>284</v>
      </c>
      <c r="AF23" s="72" t="s">
        <v>274</v>
      </c>
      <c r="AG23" s="72" t="s">
        <v>285</v>
      </c>
      <c r="AH23" s="72" t="s">
        <v>286</v>
      </c>
      <c r="AI23" s="72" t="s">
        <v>287</v>
      </c>
      <c r="AJ23" s="72" t="s">
        <v>197</v>
      </c>
      <c r="AK23" s="73">
        <v>45408</v>
      </c>
      <c r="AL23" s="73"/>
      <c r="AM23" s="73"/>
      <c r="AN23" s="84"/>
      <c r="AO23" s="81">
        <f t="shared" si="4"/>
        <v>-113527500</v>
      </c>
      <c r="AP23" s="81">
        <f t="shared" si="5"/>
        <v>-113527500</v>
      </c>
      <c r="AQ23" s="59"/>
      <c r="AV23" s="588">
        <v>45753.768518518518</v>
      </c>
    </row>
    <row r="24" spans="1:48" ht="18" customHeight="1">
      <c r="A24" s="6" t="s">
        <v>288</v>
      </c>
      <c r="B24" s="60">
        <v>45408</v>
      </c>
      <c r="C24" s="6" t="s">
        <v>124</v>
      </c>
      <c r="D24" s="30">
        <v>2</v>
      </c>
      <c r="E24" s="6" t="s">
        <v>237</v>
      </c>
      <c r="F24" s="6" t="s">
        <v>238</v>
      </c>
      <c r="G24" s="6" t="str">
        <f t="shared" si="3"/>
        <v>AMCU9350846</v>
      </c>
      <c r="H24" s="6" t="str">
        <f>IFERROR(VLOOKUP(C24,DATA!$A$11:$L$40,3,FALSE),"")</f>
        <v>FRESH DURIAN</v>
      </c>
      <c r="I24" s="7" t="s">
        <v>289</v>
      </c>
      <c r="J24" s="7" t="s">
        <v>290</v>
      </c>
      <c r="K24" s="33" t="s">
        <v>291</v>
      </c>
      <c r="L24" s="62" t="s">
        <v>288</v>
      </c>
      <c r="M24" s="37" t="s">
        <v>239</v>
      </c>
      <c r="N24" s="37" t="s">
        <v>240</v>
      </c>
      <c r="O24" s="28">
        <v>18.5</v>
      </c>
      <c r="P24" s="28">
        <v>16</v>
      </c>
      <c r="Q24" s="29">
        <v>1169</v>
      </c>
      <c r="R24" s="6" t="str">
        <f>IFERROR(VLOOKUP(C24,DATA!$A$11:$L$40,9,FALSE),"")</f>
        <v>CARTONS</v>
      </c>
      <c r="S24" s="30">
        <f>IFERROR(VLOOKUP(C24,DATA!$A$11:$L$40,10,FALSE),"")</f>
        <v>13</v>
      </c>
      <c r="T24" s="63" t="str">
        <f>IFERROR(VLOOKUP(C24,DATA!$A$11:$L$40,11,FALSE),"")</f>
        <v>30%</v>
      </c>
      <c r="U24" s="32" t="str">
        <f>IFERROR(VLOOKUP(C24,DATA!$A$11:$L$40,12,FALSE),"")</f>
        <v>Foshan City International Trade Co., Ltd</v>
      </c>
      <c r="V24" s="6" t="s">
        <v>190</v>
      </c>
      <c r="W24" s="6" t="s">
        <v>198</v>
      </c>
      <c r="X24" s="6" t="s">
        <v>192</v>
      </c>
      <c r="Y24" s="6" t="s">
        <v>231</v>
      </c>
      <c r="Z24" s="60">
        <v>45408</v>
      </c>
      <c r="AA24" s="60" t="s">
        <v>292</v>
      </c>
      <c r="AB24" s="64">
        <v>45412</v>
      </c>
      <c r="AC24" s="64">
        <v>45415</v>
      </c>
      <c r="AD24" s="6" t="s">
        <v>24</v>
      </c>
      <c r="AE24" s="87" t="s">
        <v>232</v>
      </c>
      <c r="AF24" s="65" t="s">
        <v>293</v>
      </c>
      <c r="AG24" s="65" t="s">
        <v>294</v>
      </c>
      <c r="AH24" s="65" t="s">
        <v>295</v>
      </c>
      <c r="AI24" s="65" t="s">
        <v>296</v>
      </c>
      <c r="AJ24" s="65" t="s">
        <v>197</v>
      </c>
      <c r="AK24" s="66">
        <v>45408</v>
      </c>
      <c r="AL24" s="66">
        <v>45409</v>
      </c>
      <c r="AM24" s="66"/>
      <c r="AN24" s="68"/>
      <c r="AO24" s="67">
        <f t="shared" si="4"/>
        <v>-113527500</v>
      </c>
      <c r="AP24" s="67">
        <f t="shared" si="5"/>
        <v>-113527500</v>
      </c>
      <c r="AQ24" s="59"/>
      <c r="AV24" s="588">
        <v>45753.768518518518</v>
      </c>
    </row>
    <row r="25" spans="1:48" ht="18" customHeight="1">
      <c r="A25" s="6" t="s">
        <v>297</v>
      </c>
      <c r="B25" s="60">
        <v>45408</v>
      </c>
      <c r="C25" s="6" t="s">
        <v>96</v>
      </c>
      <c r="D25" s="30">
        <v>5</v>
      </c>
      <c r="E25" s="6" t="s">
        <v>226</v>
      </c>
      <c r="F25" s="6" t="s">
        <v>227</v>
      </c>
      <c r="G25" s="6" t="str">
        <f t="shared" si="3"/>
        <v>CGMU8012865</v>
      </c>
      <c r="H25" s="6" t="str">
        <f>IFERROR(VLOOKUP(C25,DATA!$A$11:$L$40,3,FALSE),"")</f>
        <v>FRESH DURIAN</v>
      </c>
      <c r="I25" s="9" t="s">
        <v>298</v>
      </c>
      <c r="J25" s="33" t="s">
        <v>299</v>
      </c>
      <c r="K25" s="7" t="s">
        <v>300</v>
      </c>
      <c r="L25" s="62" t="s">
        <v>297</v>
      </c>
      <c r="M25" s="37" t="str">
        <f>IFERROR(VLOOKUP(C25,DATA!$A$11:$L$40,4,FALSE),"")</f>
        <v>5.00</v>
      </c>
      <c r="N25" s="28">
        <f>IFERROR(VLOOKUP(C25,DATA!$A$11:$L$40,5,FALSE),"")</f>
        <v>4.5999999999999996</v>
      </c>
      <c r="O25" s="28">
        <f>IFERROR(VLOOKUP(C25,DATA!$A$11:$L$40,6,FALSE),"")</f>
        <v>20</v>
      </c>
      <c r="P25" s="28">
        <f>IFERROR(VLOOKUP(C25,DATA!$A$11:$L$40,7,FALSE),"")</f>
        <v>18</v>
      </c>
      <c r="Q25" s="29">
        <f>IFERROR(VLOOKUP(C25,DATA!$A$11:$L$40,8,FALSE),"")</f>
        <v>960</v>
      </c>
      <c r="R25" s="6" t="str">
        <f>IFERROR(VLOOKUP(C25,DATA!$A$11:$L$40,9,FALSE),"")</f>
        <v>CARTONS</v>
      </c>
      <c r="S25" s="30">
        <f>IFERROR(VLOOKUP(C25,DATA!$A$11:$L$40,10,FALSE),"")</f>
        <v>14</v>
      </c>
      <c r="T25" s="69" t="s">
        <v>77</v>
      </c>
      <c r="U25" s="32" t="str">
        <f>IFERROR(VLOOKUP(C25,DATA!$A$11:$L$40,12,FALSE),"")</f>
        <v>BEIJING JUNYAO INTERNATIONAL</v>
      </c>
      <c r="V25" s="6" t="s">
        <v>190</v>
      </c>
      <c r="W25" s="6" t="s">
        <v>198</v>
      </c>
      <c r="X25" s="6" t="s">
        <v>192</v>
      </c>
      <c r="Y25" s="6" t="s">
        <v>231</v>
      </c>
      <c r="Z25" s="60">
        <v>45408</v>
      </c>
      <c r="AA25" s="60" t="s">
        <v>292</v>
      </c>
      <c r="AB25" s="64">
        <v>45412</v>
      </c>
      <c r="AC25" s="64">
        <v>45415</v>
      </c>
      <c r="AD25" s="6" t="s">
        <v>24</v>
      </c>
      <c r="AE25" s="6" t="s">
        <v>232</v>
      </c>
      <c r="AF25" s="65" t="s">
        <v>274</v>
      </c>
      <c r="AG25" s="65" t="s">
        <v>301</v>
      </c>
      <c r="AH25" s="65" t="s">
        <v>302</v>
      </c>
      <c r="AI25" s="65" t="s">
        <v>303</v>
      </c>
      <c r="AJ25" s="65" t="s">
        <v>197</v>
      </c>
      <c r="AK25" s="66">
        <v>45408</v>
      </c>
      <c r="AL25" s="66">
        <v>45409</v>
      </c>
      <c r="AM25" s="66"/>
      <c r="AN25" s="68"/>
      <c r="AO25" s="67">
        <f t="shared" si="4"/>
        <v>-113527500</v>
      </c>
      <c r="AP25" s="67">
        <f t="shared" si="5"/>
        <v>-113527500</v>
      </c>
      <c r="AQ25" s="59"/>
      <c r="AV25" s="588">
        <v>45753.768518518518</v>
      </c>
    </row>
    <row r="26" spans="1:48" ht="18" customHeight="1">
      <c r="A26" s="6" t="s">
        <v>304</v>
      </c>
      <c r="B26" s="60">
        <v>45408</v>
      </c>
      <c r="C26" s="6" t="s">
        <v>81</v>
      </c>
      <c r="D26" s="30">
        <v>8</v>
      </c>
      <c r="E26" s="6" t="s">
        <v>130</v>
      </c>
      <c r="F26" s="6" t="s">
        <v>200</v>
      </c>
      <c r="G26" s="6" t="str">
        <f t="shared" si="3"/>
        <v>SEKU9259969</v>
      </c>
      <c r="H26" s="6" t="str">
        <f>IFERROR(VLOOKUP(C26,DATA!$A$11:$L$40,3,FALSE),"")</f>
        <v>FRESH DURIAN</v>
      </c>
      <c r="I26" s="15" t="s">
        <v>305</v>
      </c>
      <c r="J26" s="33" t="s">
        <v>306</v>
      </c>
      <c r="K26" s="7" t="s">
        <v>307</v>
      </c>
      <c r="L26" s="62" t="s">
        <v>304</v>
      </c>
      <c r="M26" s="37" t="str">
        <f>IFERROR(VLOOKUP(C26,DATA!$A$11:$L$40,4,FALSE),"")</f>
        <v>5.00</v>
      </c>
      <c r="N26" s="28">
        <f>IFERROR(VLOOKUP(C26,DATA!$A$11:$L$40,5,FALSE),"")</f>
        <v>4.5999999999999996</v>
      </c>
      <c r="O26" s="28">
        <f>IFERROR(VLOOKUP(C26,DATA!$A$11:$L$40,6,FALSE),"")</f>
        <v>19</v>
      </c>
      <c r="P26" s="28">
        <f>IFERROR(VLOOKUP(C26,DATA!$A$11:$L$40,7,FALSE),"")</f>
        <v>17</v>
      </c>
      <c r="Q26" s="29">
        <f>IFERROR(VLOOKUP(C26,DATA!$A$11:$L$40,8,FALSE),"")</f>
        <v>960</v>
      </c>
      <c r="R26" s="6" t="str">
        <f>IFERROR(VLOOKUP(C26,DATA!$A$11:$L$40,9,FALSE),"")</f>
        <v>CARTONS</v>
      </c>
      <c r="S26" s="30">
        <f>IFERROR(VLOOKUP(C26,DATA!$A$11:$L$40,10,FALSE),"")</f>
        <v>13</v>
      </c>
      <c r="T26" s="63" t="str">
        <f>IFERROR(VLOOKUP(C26,DATA!$A$11:$L$40,11,FALSE),"")</f>
        <v>30%</v>
      </c>
      <c r="U26" s="32" t="str">
        <f>IFERROR(VLOOKUP(C26,DATA!$A$11:$L$40,12,FALSE),"")</f>
        <v>BEIJING JUNYAO INTERNATIONAL</v>
      </c>
      <c r="V26" s="6" t="s">
        <v>190</v>
      </c>
      <c r="W26" s="6" t="s">
        <v>198</v>
      </c>
      <c r="X26" s="6" t="s">
        <v>192</v>
      </c>
      <c r="Y26" s="6" t="s">
        <v>231</v>
      </c>
      <c r="Z26" s="60">
        <v>45408</v>
      </c>
      <c r="AA26" s="60" t="s">
        <v>292</v>
      </c>
      <c r="AB26" s="64">
        <v>45412</v>
      </c>
      <c r="AC26" s="64">
        <v>45415</v>
      </c>
      <c r="AD26" s="6" t="s">
        <v>24</v>
      </c>
      <c r="AE26" s="6" t="s">
        <v>232</v>
      </c>
      <c r="AF26" s="65" t="s">
        <v>201</v>
      </c>
      <c r="AG26" s="65" t="s">
        <v>235</v>
      </c>
      <c r="AH26" s="65" t="s">
        <v>203</v>
      </c>
      <c r="AI26" s="65" t="s">
        <v>308</v>
      </c>
      <c r="AJ26" s="65" t="s">
        <v>197</v>
      </c>
      <c r="AK26" s="66">
        <v>45408</v>
      </c>
      <c r="AL26" s="66">
        <v>45409</v>
      </c>
      <c r="AM26" s="66"/>
      <c r="AN26" s="68"/>
      <c r="AO26" s="67">
        <f t="shared" si="4"/>
        <v>-113527500</v>
      </c>
      <c r="AP26" s="67">
        <f t="shared" si="5"/>
        <v>-113527500</v>
      </c>
      <c r="AQ26" s="59"/>
      <c r="AV26" s="588">
        <v>45753.768518518518</v>
      </c>
    </row>
    <row r="27" spans="1:48" ht="18" customHeight="1">
      <c r="A27" s="6" t="s">
        <v>309</v>
      </c>
      <c r="B27" s="60">
        <v>45408</v>
      </c>
      <c r="C27" s="6" t="s">
        <v>128</v>
      </c>
      <c r="D27" s="30">
        <v>1</v>
      </c>
      <c r="E27" s="6" t="s">
        <v>310</v>
      </c>
      <c r="F27" s="6" t="s">
        <v>311</v>
      </c>
      <c r="G27" s="6" t="str">
        <f t="shared" si="3"/>
        <v>SEKU9069531</v>
      </c>
      <c r="H27" s="6" t="str">
        <f>IFERROR(VLOOKUP(C27,DATA!$A$11:$L$40,3,FALSE),"")</f>
        <v>FRESH DURIAN</v>
      </c>
      <c r="I27" s="15" t="s">
        <v>312</v>
      </c>
      <c r="J27" s="33" t="s">
        <v>313</v>
      </c>
      <c r="K27" s="7" t="s">
        <v>314</v>
      </c>
      <c r="L27" s="62" t="s">
        <v>309</v>
      </c>
      <c r="M27" s="37">
        <f>IFERROR(VLOOKUP(C27,DATA!$A$11:$L$40,4,FALSE),"")</f>
        <v>35.5</v>
      </c>
      <c r="N27" s="28">
        <f>IFERROR(VLOOKUP(C27,DATA!$A$11:$L$40,5,FALSE),"")</f>
        <v>33.5</v>
      </c>
      <c r="O27" s="28">
        <f>IFERROR(VLOOKUP(C27,DATA!$A$11:$L$40,6,FALSE),"")</f>
        <v>19</v>
      </c>
      <c r="P27" s="28">
        <f>IFERROR(VLOOKUP(C27,DATA!$A$11:$L$40,7,FALSE),"")</f>
        <v>17</v>
      </c>
      <c r="Q27" s="29">
        <f>IFERROR(VLOOKUP(C27,DATA!$A$11:$L$40,8,FALSE),"")</f>
        <v>960</v>
      </c>
      <c r="R27" s="6" t="str">
        <f>IFERROR(VLOOKUP(C27,DATA!$A$11:$L$40,9,FALSE),"")</f>
        <v>CARTONS</v>
      </c>
      <c r="S27" s="30">
        <f>IFERROR(VLOOKUP(C27,DATA!$A$11:$L$40,10,FALSE),"")</f>
        <v>11</v>
      </c>
      <c r="T27" s="63" t="str">
        <f>IFERROR(VLOOKUP(C27,DATA!$A$11:$L$40,11,FALSE),"")</f>
        <v>25%</v>
      </c>
      <c r="U27" s="32" t="str">
        <f>IFERROR(VLOOKUP(C27,DATA!$A$11:$L$40,12,FALSE),"")</f>
        <v>SAMBA SUPPLY CHAIN (SHANGHAI) CO., LTD</v>
      </c>
      <c r="V27" s="6" t="s">
        <v>190</v>
      </c>
      <c r="W27" s="6" t="s">
        <v>198</v>
      </c>
      <c r="X27" s="6" t="s">
        <v>192</v>
      </c>
      <c r="Y27" s="6" t="s">
        <v>231</v>
      </c>
      <c r="Z27" s="60">
        <v>45408</v>
      </c>
      <c r="AA27" s="60" t="s">
        <v>292</v>
      </c>
      <c r="AB27" s="64">
        <v>45412</v>
      </c>
      <c r="AC27" s="64">
        <v>45415</v>
      </c>
      <c r="AD27" s="6" t="s">
        <v>24</v>
      </c>
      <c r="AE27" s="6" t="s">
        <v>232</v>
      </c>
      <c r="AF27" s="65" t="s">
        <v>201</v>
      </c>
      <c r="AG27" s="65" t="s">
        <v>315</v>
      </c>
      <c r="AH27" s="65" t="s">
        <v>316</v>
      </c>
      <c r="AI27" s="65" t="s">
        <v>317</v>
      </c>
      <c r="AJ27" s="65" t="s">
        <v>197</v>
      </c>
      <c r="AK27" s="66">
        <v>45408</v>
      </c>
      <c r="AL27" s="66">
        <v>45409</v>
      </c>
      <c r="AM27" s="66"/>
      <c r="AN27" s="68"/>
      <c r="AO27" s="67">
        <f t="shared" si="4"/>
        <v>-113527500</v>
      </c>
      <c r="AP27" s="67">
        <f t="shared" si="5"/>
        <v>-113527500</v>
      </c>
      <c r="AQ27" s="59"/>
      <c r="AV27" s="588">
        <v>45753.768518518518</v>
      </c>
    </row>
    <row r="28" spans="1:48" ht="18" customHeight="1">
      <c r="A28" s="6" t="s">
        <v>318</v>
      </c>
      <c r="B28" s="60">
        <v>45408</v>
      </c>
      <c r="C28" s="6" t="s">
        <v>128</v>
      </c>
      <c r="D28" s="30">
        <v>2</v>
      </c>
      <c r="E28" s="6" t="s">
        <v>310</v>
      </c>
      <c r="F28" s="6" t="s">
        <v>311</v>
      </c>
      <c r="G28" s="6" t="str">
        <f t="shared" si="3"/>
        <v>AMCU9338840</v>
      </c>
      <c r="H28" s="6" t="str">
        <f>IFERROR(VLOOKUP(C28,DATA!$A$11:$L$40,3,FALSE),"")</f>
        <v>FRESH DURIAN</v>
      </c>
      <c r="I28" s="15" t="s">
        <v>319</v>
      </c>
      <c r="J28" s="33" t="s">
        <v>320</v>
      </c>
      <c r="K28" s="33" t="s">
        <v>321</v>
      </c>
      <c r="L28" s="62" t="s">
        <v>318</v>
      </c>
      <c r="M28" s="37">
        <f>IFERROR(VLOOKUP(C28,DATA!$A$11:$L$40,4,FALSE),"")</f>
        <v>35.5</v>
      </c>
      <c r="N28" s="28">
        <f>IFERROR(VLOOKUP(C28,DATA!$A$11:$L$40,5,FALSE),"")</f>
        <v>33.5</v>
      </c>
      <c r="O28" s="28">
        <f>IFERROR(VLOOKUP(C28,DATA!$A$11:$L$40,6,FALSE),"")</f>
        <v>19</v>
      </c>
      <c r="P28" s="28">
        <f>IFERROR(VLOOKUP(C28,DATA!$A$11:$L$40,7,FALSE),"")</f>
        <v>17</v>
      </c>
      <c r="Q28" s="29">
        <f>IFERROR(VLOOKUP(C28,DATA!$A$11:$L$40,8,FALSE),"")</f>
        <v>960</v>
      </c>
      <c r="R28" s="6" t="str">
        <f>IFERROR(VLOOKUP(C28,DATA!$A$11:$L$40,9,FALSE),"")</f>
        <v>CARTONS</v>
      </c>
      <c r="S28" s="30">
        <f>IFERROR(VLOOKUP(C28,DATA!$A$11:$L$40,10,FALSE),"")</f>
        <v>11</v>
      </c>
      <c r="T28" s="63" t="str">
        <f>IFERROR(VLOOKUP(C28,DATA!$A$11:$L$40,11,FALSE),"")</f>
        <v>25%</v>
      </c>
      <c r="U28" s="32" t="str">
        <f>IFERROR(VLOOKUP(C28,DATA!$A$11:$L$40,12,FALSE),"")</f>
        <v>SAMBA SUPPLY CHAIN (SHANGHAI) CO., LTD</v>
      </c>
      <c r="V28" s="6" t="s">
        <v>190</v>
      </c>
      <c r="W28" s="6" t="s">
        <v>198</v>
      </c>
      <c r="X28" s="6" t="s">
        <v>192</v>
      </c>
      <c r="Y28" s="6" t="s">
        <v>231</v>
      </c>
      <c r="Z28" s="60">
        <v>45408</v>
      </c>
      <c r="AA28" s="60" t="s">
        <v>292</v>
      </c>
      <c r="AB28" s="64">
        <v>45412</v>
      </c>
      <c r="AC28" s="64">
        <v>45415</v>
      </c>
      <c r="AD28" s="6" t="s">
        <v>24</v>
      </c>
      <c r="AE28" s="6" t="s">
        <v>232</v>
      </c>
      <c r="AF28" s="65" t="s">
        <v>201</v>
      </c>
      <c r="AG28" s="65" t="s">
        <v>205</v>
      </c>
      <c r="AH28" s="65" t="s">
        <v>206</v>
      </c>
      <c r="AI28" s="65" t="s">
        <v>207</v>
      </c>
      <c r="AJ28" s="65" t="s">
        <v>197</v>
      </c>
      <c r="AK28" s="66">
        <v>45408</v>
      </c>
      <c r="AL28" s="66">
        <v>45409</v>
      </c>
      <c r="AM28" s="66"/>
      <c r="AN28" s="68"/>
      <c r="AO28" s="67">
        <f t="shared" si="4"/>
        <v>-113527500</v>
      </c>
      <c r="AP28" s="67">
        <f t="shared" si="5"/>
        <v>-113527500</v>
      </c>
      <c r="AQ28" s="59"/>
      <c r="AV28" s="588">
        <v>45753.768518518518</v>
      </c>
    </row>
    <row r="29" spans="1:48" ht="18" customHeight="1">
      <c r="A29" s="6" t="s">
        <v>322</v>
      </c>
      <c r="B29" s="60">
        <v>45408</v>
      </c>
      <c r="C29" s="6" t="s">
        <v>128</v>
      </c>
      <c r="D29" s="30">
        <v>3</v>
      </c>
      <c r="E29" s="6" t="s">
        <v>310</v>
      </c>
      <c r="F29" s="6" t="s">
        <v>311</v>
      </c>
      <c r="G29" s="6" t="str">
        <f t="shared" si="3"/>
        <v>CGMU8021701</v>
      </c>
      <c r="H29" s="6" t="str">
        <f>IFERROR(VLOOKUP(C29,DATA!$A$11:$L$40,3,FALSE),"")</f>
        <v>FRESH DURIAN</v>
      </c>
      <c r="I29" s="15" t="s">
        <v>323</v>
      </c>
      <c r="J29" s="33" t="s">
        <v>324</v>
      </c>
      <c r="K29" s="33" t="s">
        <v>325</v>
      </c>
      <c r="L29" s="62" t="s">
        <v>322</v>
      </c>
      <c r="M29" s="37">
        <f>IFERROR(VLOOKUP(C29,DATA!$A$11:$L$40,4,FALSE),"")</f>
        <v>35.5</v>
      </c>
      <c r="N29" s="28">
        <f>IFERROR(VLOOKUP(C29,DATA!$A$11:$L$40,5,FALSE),"")</f>
        <v>33.5</v>
      </c>
      <c r="O29" s="28">
        <f>IFERROR(VLOOKUP(C29,DATA!$A$11:$L$40,6,FALSE),"")</f>
        <v>19</v>
      </c>
      <c r="P29" s="28">
        <f>IFERROR(VLOOKUP(C29,DATA!$A$11:$L$40,7,FALSE),"")</f>
        <v>17</v>
      </c>
      <c r="Q29" s="29">
        <f>IFERROR(VLOOKUP(C29,DATA!$A$11:$L$40,8,FALSE),"")</f>
        <v>960</v>
      </c>
      <c r="R29" s="6" t="str">
        <f>IFERROR(VLOOKUP(C29,DATA!$A$11:$L$40,9,FALSE),"")</f>
        <v>CARTONS</v>
      </c>
      <c r="S29" s="30">
        <f>IFERROR(VLOOKUP(C29,DATA!$A$11:$L$40,10,FALSE),"")</f>
        <v>11</v>
      </c>
      <c r="T29" s="63" t="str">
        <f>IFERROR(VLOOKUP(C29,DATA!$A$11:$L$40,11,FALSE),"")</f>
        <v>25%</v>
      </c>
      <c r="U29" s="32" t="str">
        <f>IFERROR(VLOOKUP(C29,DATA!$A$11:$L$40,12,FALSE),"")</f>
        <v>SAMBA SUPPLY CHAIN (SHANGHAI) CO., LTD</v>
      </c>
      <c r="V29" s="6" t="s">
        <v>190</v>
      </c>
      <c r="W29" s="6" t="s">
        <v>198</v>
      </c>
      <c r="X29" s="6" t="s">
        <v>192</v>
      </c>
      <c r="Y29" s="6" t="s">
        <v>231</v>
      </c>
      <c r="Z29" s="60">
        <v>45408</v>
      </c>
      <c r="AA29" s="60" t="s">
        <v>292</v>
      </c>
      <c r="AB29" s="64">
        <v>45412</v>
      </c>
      <c r="AC29" s="64">
        <v>45415</v>
      </c>
      <c r="AD29" s="6" t="s">
        <v>24</v>
      </c>
      <c r="AE29" s="6" t="s">
        <v>232</v>
      </c>
      <c r="AF29" s="65" t="s">
        <v>201</v>
      </c>
      <c r="AG29" s="65" t="s">
        <v>326</v>
      </c>
      <c r="AH29" s="65" t="s">
        <v>327</v>
      </c>
      <c r="AI29" s="65" t="s">
        <v>328</v>
      </c>
      <c r="AJ29" s="65" t="s">
        <v>197</v>
      </c>
      <c r="AK29" s="66">
        <v>45408</v>
      </c>
      <c r="AL29" s="66">
        <v>45409</v>
      </c>
      <c r="AM29" s="66"/>
      <c r="AN29" s="68"/>
      <c r="AO29" s="67">
        <f t="shared" si="4"/>
        <v>-113527500</v>
      </c>
      <c r="AP29" s="67">
        <f t="shared" si="5"/>
        <v>-113527500</v>
      </c>
      <c r="AQ29" s="59"/>
      <c r="AV29" s="588">
        <v>45753.768518518518</v>
      </c>
    </row>
    <row r="30" spans="1:48" ht="18" customHeight="1">
      <c r="A30" s="6" t="s">
        <v>329</v>
      </c>
      <c r="B30" s="60">
        <v>45409</v>
      </c>
      <c r="C30" s="6" t="s">
        <v>81</v>
      </c>
      <c r="D30" s="30">
        <v>9</v>
      </c>
      <c r="E30" s="6" t="s">
        <v>130</v>
      </c>
      <c r="F30" s="6" t="s">
        <v>200</v>
      </c>
      <c r="G30" s="6" t="str">
        <f t="shared" si="3"/>
        <v>AMCU9305261</v>
      </c>
      <c r="H30" s="6" t="str">
        <f>IFERROR(VLOOKUP(C30,DATA!$A$11:$L$40,3,FALSE),"")</f>
        <v>FRESH DURIAN</v>
      </c>
      <c r="I30" s="7" t="s">
        <v>330</v>
      </c>
      <c r="J30" s="8" t="s">
        <v>331</v>
      </c>
      <c r="K30" s="7" t="s">
        <v>332</v>
      </c>
      <c r="L30" s="62" t="s">
        <v>329</v>
      </c>
      <c r="M30" s="37" t="str">
        <f>IFERROR(VLOOKUP(C30,DATA!$A$11:$L$40,4,FALSE),"")</f>
        <v>5.00</v>
      </c>
      <c r="N30" s="28">
        <f>IFERROR(VLOOKUP(C30,DATA!$A$11:$L$40,5,FALSE),"")</f>
        <v>4.5999999999999996</v>
      </c>
      <c r="O30" s="28">
        <f>IFERROR(VLOOKUP(C30,DATA!$A$11:$L$40,6,FALSE),"")</f>
        <v>19</v>
      </c>
      <c r="P30" s="28">
        <f>IFERROR(VLOOKUP(C30,DATA!$A$11:$L$40,7,FALSE),"")</f>
        <v>17</v>
      </c>
      <c r="Q30" s="29">
        <f>IFERROR(VLOOKUP(C30,DATA!$A$11:$L$40,8,FALSE),"")</f>
        <v>960</v>
      </c>
      <c r="R30" s="6" t="str">
        <f>IFERROR(VLOOKUP(C30,DATA!$A$11:$L$40,9,FALSE),"")</f>
        <v>CARTONS</v>
      </c>
      <c r="S30" s="30">
        <f>IFERROR(VLOOKUP(C30,DATA!$A$11:$L$40,10,FALSE),"")</f>
        <v>13</v>
      </c>
      <c r="T30" s="63" t="str">
        <f>IFERROR(VLOOKUP(C30,DATA!$A$11:$L$40,11,FALSE),"")</f>
        <v>30%</v>
      </c>
      <c r="U30" s="32" t="str">
        <f>IFERROR(VLOOKUP(C30,DATA!$A$11:$L$40,12,FALSE),"")</f>
        <v>BEIJING JUNYAO INTERNATIONAL</v>
      </c>
      <c r="V30" s="6" t="s">
        <v>190</v>
      </c>
      <c r="W30" s="6" t="s">
        <v>198</v>
      </c>
      <c r="X30" s="6" t="s">
        <v>192</v>
      </c>
      <c r="Y30" s="6" t="s">
        <v>231</v>
      </c>
      <c r="Z30" s="60">
        <v>45409</v>
      </c>
      <c r="AA30" s="60" t="s">
        <v>292</v>
      </c>
      <c r="AB30" s="64">
        <v>45412</v>
      </c>
      <c r="AC30" s="64">
        <v>45415</v>
      </c>
      <c r="AD30" s="6" t="s">
        <v>24</v>
      </c>
      <c r="AE30" s="6" t="s">
        <v>232</v>
      </c>
      <c r="AF30" s="65" t="s">
        <v>194</v>
      </c>
      <c r="AG30" s="65" t="s">
        <v>214</v>
      </c>
      <c r="AH30" s="65" t="s">
        <v>215</v>
      </c>
      <c r="AI30" s="65" t="s">
        <v>333</v>
      </c>
      <c r="AJ30" s="65" t="s">
        <v>197</v>
      </c>
      <c r="AK30" s="66">
        <v>45409</v>
      </c>
      <c r="AL30" s="66">
        <v>45410</v>
      </c>
      <c r="AM30" s="66"/>
      <c r="AN30" s="68"/>
      <c r="AO30" s="67">
        <f t="shared" si="4"/>
        <v>-113530000</v>
      </c>
      <c r="AP30" s="67">
        <f t="shared" si="5"/>
        <v>-113530000</v>
      </c>
      <c r="AQ30" s="59"/>
      <c r="AV30" s="588">
        <v>45753.768518518518</v>
      </c>
    </row>
    <row r="31" spans="1:48" ht="18" customHeight="1">
      <c r="A31" s="6" t="s">
        <v>334</v>
      </c>
      <c r="B31" s="60">
        <v>45409</v>
      </c>
      <c r="C31" s="6" t="s">
        <v>96</v>
      </c>
      <c r="D31" s="30">
        <v>6</v>
      </c>
      <c r="E31" s="6" t="s">
        <v>226</v>
      </c>
      <c r="F31" s="6" t="s">
        <v>227</v>
      </c>
      <c r="G31" s="30" t="s">
        <v>335</v>
      </c>
      <c r="H31" s="6" t="str">
        <f>IFERROR(VLOOKUP(C31,DATA!$A$11:$L$40,3,FALSE),"")</f>
        <v>FRESH DURIAN</v>
      </c>
      <c r="I31" s="7" t="s">
        <v>336</v>
      </c>
      <c r="J31" s="7" t="s">
        <v>335</v>
      </c>
      <c r="K31" s="7" t="s">
        <v>337</v>
      </c>
      <c r="L31" s="62" t="s">
        <v>334</v>
      </c>
      <c r="M31" s="37" t="str">
        <f>IFERROR(VLOOKUP(C31,DATA!$A$11:$L$40,4,FALSE),"")</f>
        <v>5.00</v>
      </c>
      <c r="N31" s="28">
        <f>IFERROR(VLOOKUP(C31,DATA!$A$11:$L$40,5,FALSE),"")</f>
        <v>4.5999999999999996</v>
      </c>
      <c r="O31" s="28">
        <f>IFERROR(VLOOKUP(C31,DATA!$A$11:$L$40,6,FALSE),"")</f>
        <v>20</v>
      </c>
      <c r="P31" s="28">
        <f>IFERROR(VLOOKUP(C31,DATA!$A$11:$L$40,7,FALSE),"")</f>
        <v>18</v>
      </c>
      <c r="Q31" s="29">
        <f>IFERROR(VLOOKUP(C31,DATA!$A$11:$L$40,8,FALSE),"")</f>
        <v>960</v>
      </c>
      <c r="R31" s="6" t="str">
        <f>IFERROR(VLOOKUP(C31,DATA!$A$11:$L$40,9,FALSE),"")</f>
        <v>CARTONS</v>
      </c>
      <c r="S31" s="30">
        <f>IFERROR(VLOOKUP(C31,DATA!$A$11:$L$40,10,FALSE),"")</f>
        <v>14</v>
      </c>
      <c r="T31" s="63" t="str">
        <f>IFERROR(VLOOKUP(C31,DATA!$A$11:$L$40,11,FALSE),"")</f>
        <v>35%</v>
      </c>
      <c r="U31" s="32" t="str">
        <f>IFERROR(VLOOKUP(C31,DATA!$A$11:$L$40,12,FALSE),"")</f>
        <v>BEIJING JUNYAO INTERNATIONAL</v>
      </c>
      <c r="V31" s="6" t="s">
        <v>190</v>
      </c>
      <c r="W31" s="88" t="s">
        <v>338</v>
      </c>
      <c r="X31" s="6" t="s">
        <v>192</v>
      </c>
      <c r="Y31" s="6" t="s">
        <v>212</v>
      </c>
      <c r="Z31" s="60">
        <v>45409</v>
      </c>
      <c r="AA31" s="60" t="s">
        <v>292</v>
      </c>
      <c r="AB31" s="64">
        <v>45412</v>
      </c>
      <c r="AC31" s="64">
        <v>45415</v>
      </c>
      <c r="AD31" s="6" t="s">
        <v>13</v>
      </c>
      <c r="AE31" s="6" t="s">
        <v>339</v>
      </c>
      <c r="AF31" s="65" t="s">
        <v>340</v>
      </c>
      <c r="AG31" s="65" t="s">
        <v>341</v>
      </c>
      <c r="AH31" s="65" t="s">
        <v>342</v>
      </c>
      <c r="AI31" s="65" t="s">
        <v>343</v>
      </c>
      <c r="AJ31" s="65" t="s">
        <v>197</v>
      </c>
      <c r="AK31" s="66">
        <v>45409</v>
      </c>
      <c r="AL31" s="66">
        <v>45410</v>
      </c>
      <c r="AM31" s="66"/>
      <c r="AN31" s="68"/>
      <c r="AO31" s="67">
        <f t="shared" si="4"/>
        <v>-113530000</v>
      </c>
      <c r="AP31" s="67">
        <f t="shared" si="5"/>
        <v>-113530000</v>
      </c>
      <c r="AQ31" s="59"/>
      <c r="AV31" s="588">
        <v>45753.768518518518</v>
      </c>
    </row>
    <row r="32" spans="1:48" ht="18" customHeight="1">
      <c r="A32" s="72" t="s">
        <v>344</v>
      </c>
      <c r="B32" s="73">
        <v>45409</v>
      </c>
      <c r="C32" s="72" t="s">
        <v>279</v>
      </c>
      <c r="D32" s="74">
        <v>7</v>
      </c>
      <c r="E32" s="72" t="s">
        <v>226</v>
      </c>
      <c r="F32" s="89" t="s">
        <v>227</v>
      </c>
      <c r="G32" s="90" t="s">
        <v>345</v>
      </c>
      <c r="H32" s="72" t="str">
        <f>IFERROR(VLOOKUP(C32,DATA!$A$11:$L$40,3,FALSE),"")</f>
        <v/>
      </c>
      <c r="I32" s="76" t="s">
        <v>346</v>
      </c>
      <c r="J32" s="76" t="s">
        <v>345</v>
      </c>
      <c r="K32" s="76" t="s">
        <v>347</v>
      </c>
      <c r="L32" s="77" t="s">
        <v>344</v>
      </c>
      <c r="M32" s="78" t="str">
        <f>IFERROR(VLOOKUP(C32,DATA!$A$11:$L$40,4,FALSE),"")</f>
        <v/>
      </c>
      <c r="N32" s="79" t="str">
        <f>IFERROR(VLOOKUP(C32,DATA!$A$11:$L$40,5,FALSE),"")</f>
        <v/>
      </c>
      <c r="O32" s="79" t="str">
        <f>IFERROR(VLOOKUP(C32,DATA!$A$11:$L$40,6,FALSE),"")</f>
        <v/>
      </c>
      <c r="P32" s="79" t="str">
        <f>IFERROR(VLOOKUP(C32,DATA!$A$11:$L$40,7,FALSE),"")</f>
        <v/>
      </c>
      <c r="Q32" s="80" t="str">
        <f>IFERROR(VLOOKUP(C32,DATA!$A$11:$L$40,8,FALSE),"")</f>
        <v/>
      </c>
      <c r="R32" s="72" t="str">
        <f>IFERROR(VLOOKUP(C32,DATA!$A$11:$L$40,9,FALSE),"")</f>
        <v/>
      </c>
      <c r="S32" s="74" t="str">
        <f>IFERROR(VLOOKUP(C32,DATA!$A$11:$L$40,10,FALSE),"")</f>
        <v/>
      </c>
      <c r="T32" s="81" t="str">
        <f>IFERROR(VLOOKUP(C32,DATA!$A$11:$L$40,11,FALSE),"")</f>
        <v/>
      </c>
      <c r="U32" s="82" t="str">
        <f>IFERROR(VLOOKUP(C32,DATA!$A$11:$L$40,12,FALSE),"")</f>
        <v/>
      </c>
      <c r="V32" s="72" t="s">
        <v>190</v>
      </c>
      <c r="W32" s="91" t="s">
        <v>338</v>
      </c>
      <c r="X32" s="72" t="s">
        <v>192</v>
      </c>
      <c r="Y32" s="72" t="s">
        <v>212</v>
      </c>
      <c r="Z32" s="73">
        <v>45409</v>
      </c>
      <c r="AA32" s="73" t="s">
        <v>292</v>
      </c>
      <c r="AB32" s="83">
        <v>45412</v>
      </c>
      <c r="AC32" s="83">
        <v>45415</v>
      </c>
      <c r="AD32" s="72" t="s">
        <v>13</v>
      </c>
      <c r="AE32" s="72" t="s">
        <v>339</v>
      </c>
      <c r="AF32" s="72" t="s">
        <v>340</v>
      </c>
      <c r="AG32" s="72" t="s">
        <v>348</v>
      </c>
      <c r="AH32" s="72" t="s">
        <v>349</v>
      </c>
      <c r="AI32" s="72" t="s">
        <v>350</v>
      </c>
      <c r="AJ32" s="72" t="s">
        <v>197</v>
      </c>
      <c r="AK32" s="73">
        <v>45409</v>
      </c>
      <c r="AL32" s="73"/>
      <c r="AM32" s="73"/>
      <c r="AN32" s="84"/>
      <c r="AO32" s="81">
        <f t="shared" si="4"/>
        <v>-113530000</v>
      </c>
      <c r="AP32" s="81">
        <f t="shared" si="5"/>
        <v>-113530000</v>
      </c>
      <c r="AQ32" s="59"/>
      <c r="AV32" s="588">
        <v>45753.768518518518</v>
      </c>
    </row>
    <row r="33" spans="1:63" ht="18" customHeight="1">
      <c r="A33" s="72" t="s">
        <v>351</v>
      </c>
      <c r="B33" s="73">
        <v>45409</v>
      </c>
      <c r="C33" s="72" t="s">
        <v>123</v>
      </c>
      <c r="D33" s="74">
        <v>2</v>
      </c>
      <c r="E33" s="92" t="s">
        <v>352</v>
      </c>
      <c r="F33" s="89" t="s">
        <v>225</v>
      </c>
      <c r="G33" s="90" t="s">
        <v>353</v>
      </c>
      <c r="H33" s="72" t="str">
        <f>IFERROR(VLOOKUP(C33,DATA!$A$11:$L$40,3,FALSE),"")</f>
        <v>FRESH DURIAN</v>
      </c>
      <c r="I33" s="76" t="s">
        <v>354</v>
      </c>
      <c r="J33" s="76" t="s">
        <v>353</v>
      </c>
      <c r="K33" s="76" t="s">
        <v>355</v>
      </c>
      <c r="L33" s="77" t="s">
        <v>351</v>
      </c>
      <c r="M33" s="78" t="str">
        <f>IFERROR(VLOOKUP(C33,DATA!$A$11:$L$40,4,FALSE),"")</f>
        <v>5.00</v>
      </c>
      <c r="N33" s="79">
        <f>IFERROR(VLOOKUP(C33,DATA!$A$11:$L$40,5,FALSE),"")</f>
        <v>4.5999999999999996</v>
      </c>
      <c r="O33" s="79">
        <f>IFERROR(VLOOKUP(C33,DATA!$A$11:$L$40,6,FALSE),"")</f>
        <v>19</v>
      </c>
      <c r="P33" s="79">
        <f>IFERROR(VLOOKUP(C33,DATA!$A$11:$L$40,7,FALSE),"")</f>
        <v>17</v>
      </c>
      <c r="Q33" s="80">
        <f>IFERROR(VLOOKUP(C33,DATA!$A$11:$L$40,8,FALSE),"")</f>
        <v>960</v>
      </c>
      <c r="R33" s="72" t="str">
        <f>IFERROR(VLOOKUP(C33,DATA!$A$11:$L$40,9,FALSE),"")</f>
        <v>CARTONS</v>
      </c>
      <c r="S33" s="74">
        <f>IFERROR(VLOOKUP(C33,DATA!$A$11:$L$40,10,FALSE),"")</f>
        <v>13</v>
      </c>
      <c r="T33" s="81" t="str">
        <f>IFERROR(VLOOKUP(C33,DATA!$A$11:$L$40,11,FALSE),"")</f>
        <v>30%</v>
      </c>
      <c r="U33" s="82" t="str">
        <f>IFERROR(VLOOKUP(C33,DATA!$A$11:$L$40,12,FALSE),"")</f>
        <v>BEIJING JUNYAO INTERNATIONAL</v>
      </c>
      <c r="V33" s="72" t="s">
        <v>190</v>
      </c>
      <c r="W33" s="91" t="s">
        <v>338</v>
      </c>
      <c r="X33" s="72" t="s">
        <v>192</v>
      </c>
      <c r="Y33" s="72" t="s">
        <v>212</v>
      </c>
      <c r="Z33" s="73">
        <v>45409</v>
      </c>
      <c r="AA33" s="73" t="s">
        <v>292</v>
      </c>
      <c r="AB33" s="83">
        <v>45412</v>
      </c>
      <c r="AC33" s="83">
        <v>45415</v>
      </c>
      <c r="AD33" s="72" t="s">
        <v>13</v>
      </c>
      <c r="AE33" s="72" t="s">
        <v>339</v>
      </c>
      <c r="AF33" s="72" t="s">
        <v>356</v>
      </c>
      <c r="AG33" s="72" t="s">
        <v>357</v>
      </c>
      <c r="AH33" s="72" t="s">
        <v>358</v>
      </c>
      <c r="AI33" s="72" t="s">
        <v>359</v>
      </c>
      <c r="AJ33" s="72" t="s">
        <v>197</v>
      </c>
      <c r="AK33" s="73">
        <v>45409</v>
      </c>
      <c r="AL33" s="73"/>
      <c r="AM33" s="73"/>
      <c r="AN33" s="84"/>
      <c r="AO33" s="81">
        <f t="shared" si="4"/>
        <v>-113530000</v>
      </c>
      <c r="AP33" s="81">
        <f t="shared" si="5"/>
        <v>-113530000</v>
      </c>
      <c r="AQ33" s="59"/>
    </row>
    <row r="34" spans="1:63" ht="18" customHeight="1">
      <c r="A34" s="6" t="s">
        <v>360</v>
      </c>
      <c r="B34" s="60">
        <v>45409</v>
      </c>
      <c r="C34" s="6" t="s">
        <v>96</v>
      </c>
      <c r="D34" s="30">
        <v>8</v>
      </c>
      <c r="E34" s="6" t="s">
        <v>226</v>
      </c>
      <c r="F34" s="5" t="s">
        <v>227</v>
      </c>
      <c r="G34" s="30" t="s">
        <v>361</v>
      </c>
      <c r="H34" s="6" t="str">
        <f>IFERROR(VLOOKUP(C34,DATA!$A$11:$L$40,3,FALSE),"")</f>
        <v>FRESH DURIAN</v>
      </c>
      <c r="I34" s="7" t="s">
        <v>362</v>
      </c>
      <c r="J34" s="7" t="s">
        <v>361</v>
      </c>
      <c r="K34" s="7" t="s">
        <v>363</v>
      </c>
      <c r="L34" s="62" t="s">
        <v>360</v>
      </c>
      <c r="M34" s="37" t="str">
        <f>IFERROR(VLOOKUP(C34,DATA!$A$11:$L$40,4,FALSE),"")</f>
        <v>5.00</v>
      </c>
      <c r="N34" s="28">
        <f>IFERROR(VLOOKUP(C34,DATA!$A$11:$L$40,5,FALSE),"")</f>
        <v>4.5999999999999996</v>
      </c>
      <c r="O34" s="28">
        <f>IFERROR(VLOOKUP(C34,DATA!$A$11:$L$40,6,FALSE),"")</f>
        <v>20</v>
      </c>
      <c r="P34" s="28">
        <f>IFERROR(VLOOKUP(C34,DATA!$A$11:$L$40,7,FALSE),"")</f>
        <v>18</v>
      </c>
      <c r="Q34" s="29">
        <f>IFERROR(VLOOKUP(C34,DATA!$A$11:$L$40,8,FALSE),"")</f>
        <v>960</v>
      </c>
      <c r="R34" s="6" t="str">
        <f>IFERROR(VLOOKUP(C34,DATA!$A$11:$L$40,9,FALSE),"")</f>
        <v>CARTONS</v>
      </c>
      <c r="S34" s="30">
        <f>IFERROR(VLOOKUP(C34,DATA!$A$11:$L$40,10,FALSE),"")</f>
        <v>14</v>
      </c>
      <c r="T34" s="63" t="str">
        <f>IFERROR(VLOOKUP(C34,DATA!$A$11:$L$40,11,FALSE),"")</f>
        <v>35%</v>
      </c>
      <c r="U34" s="32" t="str">
        <f>IFERROR(VLOOKUP(C34,DATA!$A$11:$L$40,12,FALSE),"")</f>
        <v>BEIJING JUNYAO INTERNATIONAL</v>
      </c>
      <c r="V34" s="6" t="s">
        <v>190</v>
      </c>
      <c r="W34" s="88" t="s">
        <v>338</v>
      </c>
      <c r="X34" s="6" t="s">
        <v>192</v>
      </c>
      <c r="Y34" s="6" t="s">
        <v>212</v>
      </c>
      <c r="Z34" s="60">
        <v>45409</v>
      </c>
      <c r="AA34" s="60" t="s">
        <v>292</v>
      </c>
      <c r="AB34" s="64">
        <v>45412</v>
      </c>
      <c r="AC34" s="64">
        <v>45415</v>
      </c>
      <c r="AD34" s="6" t="s">
        <v>13</v>
      </c>
      <c r="AE34" s="6" t="s">
        <v>339</v>
      </c>
      <c r="AF34" s="65" t="s">
        <v>356</v>
      </c>
      <c r="AG34" s="65" t="s">
        <v>364</v>
      </c>
      <c r="AH34" s="65" t="s">
        <v>365</v>
      </c>
      <c r="AI34" s="65" t="s">
        <v>366</v>
      </c>
      <c r="AJ34" s="65" t="s">
        <v>197</v>
      </c>
      <c r="AK34" s="66">
        <v>45409</v>
      </c>
      <c r="AL34" s="66">
        <v>45410</v>
      </c>
      <c r="AM34" s="66"/>
      <c r="AN34" s="68"/>
      <c r="AO34" s="67">
        <f t="shared" si="4"/>
        <v>-113530000</v>
      </c>
      <c r="AP34" s="67">
        <f t="shared" si="5"/>
        <v>-113530000</v>
      </c>
      <c r="AQ34" s="59"/>
    </row>
    <row r="35" spans="1:63" ht="15" customHeight="1">
      <c r="A35" s="6" t="s">
        <v>367</v>
      </c>
      <c r="B35" s="60">
        <v>45409</v>
      </c>
      <c r="C35" s="6" t="s">
        <v>81</v>
      </c>
      <c r="D35" s="30">
        <v>10</v>
      </c>
      <c r="E35" s="6" t="s">
        <v>130</v>
      </c>
      <c r="F35" s="5" t="s">
        <v>200</v>
      </c>
      <c r="G35" s="30" t="s">
        <v>368</v>
      </c>
      <c r="H35" s="6" t="str">
        <f>IFERROR(VLOOKUP(C35,DATA!$A$11:$L$40,3,FALSE),"")</f>
        <v>FRESH DURIAN</v>
      </c>
      <c r="I35" s="7" t="s">
        <v>369</v>
      </c>
      <c r="J35" s="7" t="s">
        <v>368</v>
      </c>
      <c r="K35" s="7" t="s">
        <v>370</v>
      </c>
      <c r="L35" s="62" t="s">
        <v>367</v>
      </c>
      <c r="M35" s="37" t="str">
        <f>IFERROR(VLOOKUP(C35,DATA!$A$11:$L$40,4,FALSE),"")</f>
        <v>5.00</v>
      </c>
      <c r="N35" s="28">
        <f>IFERROR(VLOOKUP(C35,DATA!$A$11:$L$40,5,FALSE),"")</f>
        <v>4.5999999999999996</v>
      </c>
      <c r="O35" s="28">
        <f>IFERROR(VLOOKUP(C35,DATA!$A$11:$L$40,6,FALSE),"")</f>
        <v>19</v>
      </c>
      <c r="P35" s="28">
        <f>IFERROR(VLOOKUP(C35,DATA!$A$11:$L$40,7,FALSE),"")</f>
        <v>17</v>
      </c>
      <c r="Q35" s="29">
        <f>IFERROR(VLOOKUP(C35,DATA!$A$11:$L$40,8,FALSE),"")</f>
        <v>960</v>
      </c>
      <c r="R35" s="6" t="str">
        <f>IFERROR(VLOOKUP(C35,DATA!$A$11:$L$40,9,FALSE),"")</f>
        <v>CARTONS</v>
      </c>
      <c r="S35" s="30">
        <f>IFERROR(VLOOKUP(C35,DATA!$A$11:$L$40,10,FALSE),"")</f>
        <v>13</v>
      </c>
      <c r="T35" s="63" t="str">
        <f>IFERROR(VLOOKUP(C35,DATA!$A$11:$L$40,11,FALSE),"")</f>
        <v>30%</v>
      </c>
      <c r="U35" s="32" t="str">
        <f>IFERROR(VLOOKUP(C35,DATA!$A$11:$L$40,12,FALSE),"")</f>
        <v>BEIJING JUNYAO INTERNATIONAL</v>
      </c>
      <c r="V35" s="6" t="s">
        <v>190</v>
      </c>
      <c r="W35" s="88" t="s">
        <v>338</v>
      </c>
      <c r="X35" s="6" t="s">
        <v>192</v>
      </c>
      <c r="Y35" s="6" t="s">
        <v>212</v>
      </c>
      <c r="Z35" s="60">
        <v>45409</v>
      </c>
      <c r="AA35" s="60" t="s">
        <v>292</v>
      </c>
      <c r="AB35" s="64">
        <v>45412</v>
      </c>
      <c r="AC35" s="64">
        <v>45415</v>
      </c>
      <c r="AD35" s="6" t="s">
        <v>13</v>
      </c>
      <c r="AE35" s="6" t="s">
        <v>339</v>
      </c>
      <c r="AF35" s="65" t="s">
        <v>340</v>
      </c>
      <c r="AG35" s="65" t="s">
        <v>371</v>
      </c>
      <c r="AH35" s="65" t="s">
        <v>372</v>
      </c>
      <c r="AI35" s="65" t="s">
        <v>373</v>
      </c>
      <c r="AJ35" s="65" t="s">
        <v>197</v>
      </c>
      <c r="AK35" s="66">
        <v>45409</v>
      </c>
      <c r="AL35" s="66">
        <v>45410</v>
      </c>
      <c r="AM35" s="66"/>
      <c r="AN35" s="68"/>
      <c r="AO35" s="67">
        <f t="shared" si="4"/>
        <v>-113530000</v>
      </c>
      <c r="AP35" s="67">
        <f t="shared" si="5"/>
        <v>-113530000</v>
      </c>
      <c r="AQ35" s="59"/>
    </row>
    <row r="36" spans="1:63" ht="18" customHeight="1">
      <c r="A36" s="6" t="s">
        <v>374</v>
      </c>
      <c r="B36" s="60">
        <v>45409</v>
      </c>
      <c r="C36" s="6" t="s">
        <v>81</v>
      </c>
      <c r="D36" s="30">
        <v>11</v>
      </c>
      <c r="E36" s="6" t="s">
        <v>130</v>
      </c>
      <c r="F36" s="5" t="s">
        <v>200</v>
      </c>
      <c r="G36" s="30" t="s">
        <v>375</v>
      </c>
      <c r="H36" s="6" t="str">
        <f>IFERROR(VLOOKUP(C36,DATA!$A$11:$L$40,3,FALSE),"")</f>
        <v>FRESH DURIAN</v>
      </c>
      <c r="I36" s="59" t="s">
        <v>376</v>
      </c>
      <c r="J36" s="7" t="s">
        <v>375</v>
      </c>
      <c r="K36" s="7" t="s">
        <v>377</v>
      </c>
      <c r="L36" s="62" t="s">
        <v>374</v>
      </c>
      <c r="M36" s="37" t="str">
        <f>IFERROR(VLOOKUP(C36,DATA!$A$11:$L$40,4,FALSE),"")</f>
        <v>5.00</v>
      </c>
      <c r="N36" s="28">
        <f>IFERROR(VLOOKUP(C36,DATA!$A$11:$L$40,5,FALSE),"")</f>
        <v>4.5999999999999996</v>
      </c>
      <c r="O36" s="28">
        <f>IFERROR(VLOOKUP(C36,DATA!$A$11:$L$40,6,FALSE),"")</f>
        <v>19</v>
      </c>
      <c r="P36" s="28">
        <f>IFERROR(VLOOKUP(C36,DATA!$A$11:$L$40,7,FALSE),"")</f>
        <v>17</v>
      </c>
      <c r="Q36" s="29">
        <f>IFERROR(VLOOKUP(C36,DATA!$A$11:$L$40,8,FALSE),"")</f>
        <v>960</v>
      </c>
      <c r="R36" s="6" t="str">
        <f>IFERROR(VLOOKUP(C36,DATA!$A$11:$L$40,9,FALSE),"")</f>
        <v>CARTONS</v>
      </c>
      <c r="S36" s="93">
        <v>12</v>
      </c>
      <c r="T36" s="94">
        <v>0.25</v>
      </c>
      <c r="U36" s="32" t="str">
        <f>IFERROR(VLOOKUP(C36,DATA!$A$11:$L$40,12,FALSE),"")</f>
        <v>BEIJING JUNYAO INTERNATIONAL</v>
      </c>
      <c r="V36" s="6" t="s">
        <v>190</v>
      </c>
      <c r="W36" s="6" t="s">
        <v>198</v>
      </c>
      <c r="X36" s="6" t="s">
        <v>192</v>
      </c>
      <c r="Y36" s="6" t="s">
        <v>231</v>
      </c>
      <c r="Z36" s="60">
        <v>45409</v>
      </c>
      <c r="AA36" s="60" t="s">
        <v>378</v>
      </c>
      <c r="AB36" s="64">
        <v>45413</v>
      </c>
      <c r="AC36" s="64">
        <v>45417</v>
      </c>
      <c r="AD36" s="6" t="s">
        <v>24</v>
      </c>
      <c r="AE36" s="95" t="s">
        <v>379</v>
      </c>
      <c r="AF36" s="65" t="s">
        <v>356</v>
      </c>
      <c r="AG36" s="65" t="s">
        <v>380</v>
      </c>
      <c r="AH36" s="65" t="s">
        <v>381</v>
      </c>
      <c r="AI36" s="65" t="s">
        <v>382</v>
      </c>
      <c r="AJ36" s="65" t="s">
        <v>197</v>
      </c>
      <c r="AK36" s="66">
        <v>45409</v>
      </c>
      <c r="AL36" s="66">
        <v>45410</v>
      </c>
      <c r="AM36" s="66"/>
      <c r="AN36" s="68"/>
      <c r="AO36" s="67">
        <f t="shared" si="4"/>
        <v>-113530000</v>
      </c>
      <c r="AP36" s="67">
        <f t="shared" si="5"/>
        <v>-113530000</v>
      </c>
      <c r="AQ36" s="59"/>
    </row>
    <row r="37" spans="1:63" ht="18" customHeight="1">
      <c r="A37" s="6" t="s">
        <v>383</v>
      </c>
      <c r="B37" s="60">
        <v>45409</v>
      </c>
      <c r="C37" s="6" t="s">
        <v>81</v>
      </c>
      <c r="D37" s="30">
        <v>12</v>
      </c>
      <c r="E37" s="6" t="s">
        <v>130</v>
      </c>
      <c r="F37" s="5" t="s">
        <v>200</v>
      </c>
      <c r="G37" s="30" t="s">
        <v>384</v>
      </c>
      <c r="H37" s="6" t="str">
        <f>IFERROR(VLOOKUP(C37,DATA!$A$11:$L$40,3,FALSE),"")</f>
        <v>FRESH DURIAN</v>
      </c>
      <c r="I37" s="59" t="s">
        <v>385</v>
      </c>
      <c r="J37" s="7" t="s">
        <v>384</v>
      </c>
      <c r="K37" s="7" t="s">
        <v>386</v>
      </c>
      <c r="L37" s="62" t="s">
        <v>383</v>
      </c>
      <c r="M37" s="37" t="str">
        <f>IFERROR(VLOOKUP(C37,DATA!$A$11:$L$40,4,FALSE),"")</f>
        <v>5.00</v>
      </c>
      <c r="N37" s="28">
        <f>IFERROR(VLOOKUP(C37,DATA!$A$11:$L$40,5,FALSE),"")</f>
        <v>4.5999999999999996</v>
      </c>
      <c r="O37" s="28">
        <f>IFERROR(VLOOKUP(C37,DATA!$A$11:$L$40,6,FALSE),"")</f>
        <v>19</v>
      </c>
      <c r="P37" s="28">
        <f>IFERROR(VLOOKUP(C37,DATA!$A$11:$L$40,7,FALSE),"")</f>
        <v>17</v>
      </c>
      <c r="Q37" s="29">
        <f>IFERROR(VLOOKUP(C37,DATA!$A$11:$L$40,8,FALSE),"")</f>
        <v>960</v>
      </c>
      <c r="R37" s="6" t="str">
        <f>IFERROR(VLOOKUP(C37,DATA!$A$11:$L$40,9,FALSE),"")</f>
        <v>CARTONS</v>
      </c>
      <c r="S37" s="93">
        <v>12</v>
      </c>
      <c r="T37" s="94">
        <v>0.25</v>
      </c>
      <c r="U37" s="32" t="str">
        <f>IFERROR(VLOOKUP(C37,DATA!$A$11:$L$40,12,FALSE),"")</f>
        <v>BEIJING JUNYAO INTERNATIONAL</v>
      </c>
      <c r="V37" s="6" t="s">
        <v>190</v>
      </c>
      <c r="W37" s="6" t="s">
        <v>198</v>
      </c>
      <c r="X37" s="6" t="s">
        <v>192</v>
      </c>
      <c r="Y37" s="6" t="s">
        <v>231</v>
      </c>
      <c r="Z37" s="60">
        <v>45409</v>
      </c>
      <c r="AA37" s="60" t="s">
        <v>378</v>
      </c>
      <c r="AB37" s="64">
        <v>45413</v>
      </c>
      <c r="AC37" s="64">
        <v>45417</v>
      </c>
      <c r="AD37" s="6" t="s">
        <v>24</v>
      </c>
      <c r="AE37" s="95" t="s">
        <v>379</v>
      </c>
      <c r="AF37" s="65" t="s">
        <v>387</v>
      </c>
      <c r="AG37" s="65" t="s">
        <v>388</v>
      </c>
      <c r="AH37" s="65" t="s">
        <v>389</v>
      </c>
      <c r="AI37" s="65" t="s">
        <v>390</v>
      </c>
      <c r="AJ37" s="65" t="s">
        <v>197</v>
      </c>
      <c r="AK37" s="66">
        <v>45409</v>
      </c>
      <c r="AL37" s="66">
        <v>45411</v>
      </c>
      <c r="AM37" s="66"/>
      <c r="AN37" s="68"/>
      <c r="AO37" s="67">
        <f t="shared" si="4"/>
        <v>-113530000</v>
      </c>
      <c r="AP37" s="67">
        <f t="shared" si="5"/>
        <v>-113530000</v>
      </c>
      <c r="AQ37" s="59"/>
    </row>
    <row r="38" spans="1:63" ht="18" customHeight="1">
      <c r="A38" s="6" t="s">
        <v>391</v>
      </c>
      <c r="B38" s="60">
        <v>45409</v>
      </c>
      <c r="C38" s="6" t="s">
        <v>81</v>
      </c>
      <c r="D38" s="30">
        <v>13</v>
      </c>
      <c r="E38" s="6" t="s">
        <v>130</v>
      </c>
      <c r="F38" s="5" t="s">
        <v>200</v>
      </c>
      <c r="G38" s="30" t="s">
        <v>392</v>
      </c>
      <c r="H38" s="6" t="str">
        <f>IFERROR(VLOOKUP(C38,DATA!$A$11:$L$40,3,FALSE),"")</f>
        <v>FRESH DURIAN</v>
      </c>
      <c r="I38" s="59" t="s">
        <v>393</v>
      </c>
      <c r="J38" s="7" t="s">
        <v>392</v>
      </c>
      <c r="K38" s="7" t="s">
        <v>394</v>
      </c>
      <c r="L38" s="62" t="s">
        <v>391</v>
      </c>
      <c r="M38" s="37" t="str">
        <f>IFERROR(VLOOKUP(C38,DATA!$A$11:$L$40,4,FALSE),"")</f>
        <v>5.00</v>
      </c>
      <c r="N38" s="28">
        <f>IFERROR(VLOOKUP(C38,DATA!$A$11:$L$40,5,FALSE),"")</f>
        <v>4.5999999999999996</v>
      </c>
      <c r="O38" s="28">
        <f>IFERROR(VLOOKUP(C38,DATA!$A$11:$L$40,6,FALSE),"")</f>
        <v>19</v>
      </c>
      <c r="P38" s="28">
        <f>IFERROR(VLOOKUP(C38,DATA!$A$11:$L$40,7,FALSE),"")</f>
        <v>17</v>
      </c>
      <c r="Q38" s="29">
        <f>IFERROR(VLOOKUP(C38,DATA!$A$11:$L$40,8,FALSE),"")</f>
        <v>960</v>
      </c>
      <c r="R38" s="6" t="str">
        <f>IFERROR(VLOOKUP(C38,DATA!$A$11:$L$40,9,FALSE),"")</f>
        <v>CARTONS</v>
      </c>
      <c r="S38" s="93">
        <v>12</v>
      </c>
      <c r="T38" s="94">
        <v>0.25</v>
      </c>
      <c r="U38" s="32" t="str">
        <f>IFERROR(VLOOKUP(C38,DATA!$A$11:$L$40,12,FALSE),"")</f>
        <v>BEIJING JUNYAO INTERNATIONAL</v>
      </c>
      <c r="V38" s="6" t="s">
        <v>190</v>
      </c>
      <c r="W38" s="6" t="s">
        <v>198</v>
      </c>
      <c r="X38" s="6" t="s">
        <v>192</v>
      </c>
      <c r="Y38" s="6" t="s">
        <v>231</v>
      </c>
      <c r="Z38" s="60">
        <v>45409</v>
      </c>
      <c r="AA38" s="60" t="s">
        <v>378</v>
      </c>
      <c r="AB38" s="64">
        <v>45413</v>
      </c>
      <c r="AC38" s="64">
        <v>45417</v>
      </c>
      <c r="AD38" s="6" t="s">
        <v>24</v>
      </c>
      <c r="AE38" s="95" t="s">
        <v>379</v>
      </c>
      <c r="AF38" s="65" t="s">
        <v>387</v>
      </c>
      <c r="AG38" s="65" t="s">
        <v>195</v>
      </c>
      <c r="AH38" s="65" t="s">
        <v>196</v>
      </c>
      <c r="AI38" s="65" t="s">
        <v>395</v>
      </c>
      <c r="AJ38" s="65" t="s">
        <v>197</v>
      </c>
      <c r="AK38" s="66">
        <v>45409</v>
      </c>
      <c r="AL38" s="66">
        <v>45411</v>
      </c>
      <c r="AM38" s="66"/>
      <c r="AN38" s="67"/>
      <c r="AO38" s="67">
        <f t="shared" si="4"/>
        <v>-113530000</v>
      </c>
      <c r="AP38" s="67">
        <f t="shared" si="5"/>
        <v>-113530000</v>
      </c>
      <c r="AQ38" s="59"/>
    </row>
    <row r="39" spans="1:63" ht="18" customHeight="1">
      <c r="A39" s="6" t="s">
        <v>396</v>
      </c>
      <c r="B39" s="60">
        <v>45409</v>
      </c>
      <c r="C39" s="6" t="s">
        <v>124</v>
      </c>
      <c r="D39" s="30">
        <v>3</v>
      </c>
      <c r="E39" s="6" t="s">
        <v>124</v>
      </c>
      <c r="F39" s="5" t="s">
        <v>238</v>
      </c>
      <c r="G39" s="6" t="str">
        <f>J39</f>
        <v>CGMU5558744</v>
      </c>
      <c r="H39" s="6" t="str">
        <f>IFERROR(VLOOKUP(C39,DATA!$A$11:$L$40,3,FALSE),"")</f>
        <v>FRESH DURIAN</v>
      </c>
      <c r="I39" s="59" t="s">
        <v>397</v>
      </c>
      <c r="J39" s="7" t="s">
        <v>398</v>
      </c>
      <c r="K39" s="7" t="s">
        <v>399</v>
      </c>
      <c r="L39" s="62" t="s">
        <v>396</v>
      </c>
      <c r="M39" s="37" t="s">
        <v>400</v>
      </c>
      <c r="N39" s="37">
        <v>3.65</v>
      </c>
      <c r="O39" s="28">
        <v>18.5</v>
      </c>
      <c r="P39" s="28">
        <v>16</v>
      </c>
      <c r="Q39" s="29">
        <v>1230</v>
      </c>
      <c r="R39" s="6" t="str">
        <f>IFERROR(VLOOKUP(C39,DATA!$A$11:$L$40,9,FALSE),"")</f>
        <v>CARTONS</v>
      </c>
      <c r="S39" s="30">
        <f>IFERROR(VLOOKUP(C39,DATA!$A$11:$L$40,10,FALSE),"")</f>
        <v>13</v>
      </c>
      <c r="T39" s="63" t="str">
        <f>IFERROR(VLOOKUP(C39,DATA!$A$11:$L$40,11,FALSE),"")</f>
        <v>30%</v>
      </c>
      <c r="U39" s="32" t="str">
        <f>IFERROR(VLOOKUP(C39,DATA!$A$11:$L$40,12,FALSE),"")</f>
        <v>Foshan City International Trade Co., Ltd</v>
      </c>
      <c r="V39" s="6" t="s">
        <v>190</v>
      </c>
      <c r="W39" s="6" t="s">
        <v>198</v>
      </c>
      <c r="X39" s="6" t="s">
        <v>192</v>
      </c>
      <c r="Y39" s="6" t="s">
        <v>231</v>
      </c>
      <c r="Z39" s="60">
        <v>45409</v>
      </c>
      <c r="AA39" s="60" t="s">
        <v>378</v>
      </c>
      <c r="AB39" s="64">
        <v>45413</v>
      </c>
      <c r="AC39" s="64">
        <v>45417</v>
      </c>
      <c r="AD39" s="6" t="s">
        <v>24</v>
      </c>
      <c r="AE39" s="95" t="s">
        <v>379</v>
      </c>
      <c r="AF39" s="65" t="s">
        <v>201</v>
      </c>
      <c r="AG39" s="65" t="s">
        <v>326</v>
      </c>
      <c r="AH39" s="65" t="s">
        <v>327</v>
      </c>
      <c r="AI39" s="65" t="s">
        <v>401</v>
      </c>
      <c r="AJ39" s="65" t="s">
        <v>197</v>
      </c>
      <c r="AK39" s="66">
        <v>45409</v>
      </c>
      <c r="AL39" s="66">
        <v>45411</v>
      </c>
      <c r="AM39" s="66"/>
      <c r="AN39" s="68"/>
      <c r="AO39" s="67">
        <f t="shared" si="4"/>
        <v>-113530000</v>
      </c>
      <c r="AP39" s="67">
        <f t="shared" si="5"/>
        <v>-113530000</v>
      </c>
      <c r="AQ39" s="59"/>
    </row>
    <row r="40" spans="1:63" ht="18" customHeight="1">
      <c r="A40" s="6" t="s">
        <v>402</v>
      </c>
      <c r="B40" s="60">
        <v>45409</v>
      </c>
      <c r="C40" s="6" t="s">
        <v>96</v>
      </c>
      <c r="D40" s="30">
        <v>9</v>
      </c>
      <c r="E40" s="6" t="s">
        <v>226</v>
      </c>
      <c r="F40" s="5" t="s">
        <v>227</v>
      </c>
      <c r="G40" s="30" t="s">
        <v>403</v>
      </c>
      <c r="H40" s="6" t="str">
        <f>IFERROR(VLOOKUP(C40,DATA!$A$11:$L$40,3,FALSE),"")</f>
        <v>FRESH DURIAN</v>
      </c>
      <c r="I40" s="59" t="s">
        <v>404</v>
      </c>
      <c r="J40" s="7" t="s">
        <v>403</v>
      </c>
      <c r="K40" s="7" t="s">
        <v>405</v>
      </c>
      <c r="L40" s="62" t="s">
        <v>402</v>
      </c>
      <c r="M40" s="37" t="str">
        <f>IFERROR(VLOOKUP(C40,DATA!$A$11:$L$40,4,FALSE),"")</f>
        <v>5.00</v>
      </c>
      <c r="N40" s="28">
        <f>IFERROR(VLOOKUP(C40,DATA!$A$11:$L$40,5,FALSE),"")</f>
        <v>4.5999999999999996</v>
      </c>
      <c r="O40" s="28">
        <f>IFERROR(VLOOKUP(C40,DATA!$A$11:$L$40,6,FALSE),"")</f>
        <v>20</v>
      </c>
      <c r="P40" s="28">
        <f>IFERROR(VLOOKUP(C40,DATA!$A$11:$L$40,7,FALSE),"")</f>
        <v>18</v>
      </c>
      <c r="Q40" s="29">
        <f>IFERROR(VLOOKUP(C40,DATA!$A$11:$L$40,8,FALSE),"")</f>
        <v>960</v>
      </c>
      <c r="R40" s="6" t="str">
        <f>IFERROR(VLOOKUP(C40,DATA!$A$11:$L$40,9,FALSE),"")</f>
        <v>CARTONS</v>
      </c>
      <c r="S40" s="93">
        <v>12</v>
      </c>
      <c r="T40" s="63" t="str">
        <f>IFERROR(VLOOKUP(C40,DATA!$A$11:$L$40,11,FALSE),"")</f>
        <v>35%</v>
      </c>
      <c r="U40" s="32" t="str">
        <f>IFERROR(VLOOKUP(C40,DATA!$A$11:$L$40,12,FALSE),"")</f>
        <v>BEIJING JUNYAO INTERNATIONAL</v>
      </c>
      <c r="V40" s="6" t="s">
        <v>190</v>
      </c>
      <c r="W40" s="6" t="s">
        <v>198</v>
      </c>
      <c r="X40" s="6" t="s">
        <v>192</v>
      </c>
      <c r="Y40" s="6" t="s">
        <v>231</v>
      </c>
      <c r="Z40" s="60">
        <v>45409</v>
      </c>
      <c r="AA40" s="60" t="s">
        <v>378</v>
      </c>
      <c r="AB40" s="64">
        <v>45413</v>
      </c>
      <c r="AC40" s="64">
        <v>45417</v>
      </c>
      <c r="AD40" s="6" t="s">
        <v>24</v>
      </c>
      <c r="AE40" s="95" t="s">
        <v>379</v>
      </c>
      <c r="AF40" s="65" t="s">
        <v>201</v>
      </c>
      <c r="AG40" s="65" t="s">
        <v>205</v>
      </c>
      <c r="AH40" s="65" t="s">
        <v>206</v>
      </c>
      <c r="AI40" s="65" t="s">
        <v>406</v>
      </c>
      <c r="AJ40" s="65" t="s">
        <v>197</v>
      </c>
      <c r="AK40" s="66">
        <v>45409</v>
      </c>
      <c r="AL40" s="66">
        <v>45411</v>
      </c>
      <c r="AM40" s="66"/>
      <c r="AN40" s="68"/>
      <c r="AO40" s="67">
        <f t="shared" si="4"/>
        <v>-113530000</v>
      </c>
      <c r="AP40" s="67">
        <f t="shared" si="5"/>
        <v>-113530000</v>
      </c>
      <c r="AQ40" s="59"/>
    </row>
    <row r="41" spans="1:63" ht="18" customHeight="1">
      <c r="A41" s="6" t="s">
        <v>407</v>
      </c>
      <c r="B41" s="60">
        <v>45409</v>
      </c>
      <c r="C41" s="6" t="s">
        <v>133</v>
      </c>
      <c r="D41" s="30">
        <v>1</v>
      </c>
      <c r="E41" s="6" t="s">
        <v>124</v>
      </c>
      <c r="F41" s="5" t="s">
        <v>238</v>
      </c>
      <c r="G41" s="30" t="s">
        <v>408</v>
      </c>
      <c r="H41" s="93" t="s">
        <v>134</v>
      </c>
      <c r="I41" s="59" t="s">
        <v>409</v>
      </c>
      <c r="J41" s="7" t="s">
        <v>408</v>
      </c>
      <c r="K41" s="7" t="s">
        <v>410</v>
      </c>
      <c r="L41" s="62" t="s">
        <v>407</v>
      </c>
      <c r="M41" s="37">
        <f>IFERROR(VLOOKUP(C41,DATA!$A$11:$L$40,4,FALSE),"")</f>
        <v>2.16</v>
      </c>
      <c r="N41" s="37">
        <f>IFERROR(VLOOKUP(C41,DATA!$A$11:$L$40,5,FALSE),"")</f>
        <v>1.9</v>
      </c>
      <c r="O41" s="28">
        <f>IFERROR(VLOOKUP(C41,DATA!$A$11:$L$40,6,FALSE),"")</f>
        <v>8</v>
      </c>
      <c r="P41" s="28">
        <f>IFERROR(VLOOKUP(C41,DATA!$A$11:$L$40,7,FALSE),"")</f>
        <v>6</v>
      </c>
      <c r="Q41" s="29">
        <f>IFERROR(VLOOKUP(C41,DATA!$A$11:$L$40,8,FALSE),"")</f>
        <v>2400</v>
      </c>
      <c r="R41" s="6" t="str">
        <f>IFERROR(VLOOKUP(C41,DATA!$A$11:$L$40,9,FALSE),"")</f>
        <v>PLASTIC BASKETS</v>
      </c>
      <c r="S41" s="30">
        <f>IFERROR(VLOOKUP(C41,DATA!$A$11:$L$40,10,FALSE),"")</f>
        <v>13</v>
      </c>
      <c r="T41" s="96" t="s">
        <v>136</v>
      </c>
      <c r="U41" s="32" t="str">
        <f>IFERROR(VLOOKUP(C41,DATA!$A$11:$L$40,12,FALSE),"")</f>
        <v>SICHUAN COMMERCIAL INVESTMENT INVESTMENT CO,LTD</v>
      </c>
      <c r="V41" s="6" t="s">
        <v>190</v>
      </c>
      <c r="W41" s="6" t="s">
        <v>198</v>
      </c>
      <c r="X41" s="6" t="s">
        <v>192</v>
      </c>
      <c r="Y41" s="6" t="s">
        <v>231</v>
      </c>
      <c r="Z41" s="60">
        <v>45409</v>
      </c>
      <c r="AA41" s="60" t="s">
        <v>378</v>
      </c>
      <c r="AB41" s="64">
        <v>45413</v>
      </c>
      <c r="AC41" s="64">
        <v>45417</v>
      </c>
      <c r="AD41" s="6" t="s">
        <v>24</v>
      </c>
      <c r="AE41" s="95" t="s">
        <v>379</v>
      </c>
      <c r="AF41" s="65" t="s">
        <v>411</v>
      </c>
      <c r="AG41" s="65" t="s">
        <v>412</v>
      </c>
      <c r="AH41" s="65" t="s">
        <v>413</v>
      </c>
      <c r="AI41" s="65" t="s">
        <v>414</v>
      </c>
      <c r="AJ41" s="65" t="s">
        <v>197</v>
      </c>
      <c r="AK41" s="66">
        <v>45409</v>
      </c>
      <c r="AL41" s="66">
        <v>45411</v>
      </c>
      <c r="AM41" s="66"/>
      <c r="AN41" s="68"/>
      <c r="AO41" s="67">
        <f t="shared" si="4"/>
        <v>-113530000</v>
      </c>
      <c r="AP41" s="67">
        <f t="shared" si="5"/>
        <v>-113530000</v>
      </c>
      <c r="AQ41" s="59"/>
    </row>
    <row r="42" spans="1:63" ht="18" customHeight="1">
      <c r="A42" s="72" t="s">
        <v>415</v>
      </c>
      <c r="B42" s="73">
        <v>45409</v>
      </c>
      <c r="C42" s="72" t="s">
        <v>123</v>
      </c>
      <c r="D42" s="74">
        <v>3</v>
      </c>
      <c r="E42" s="89" t="s">
        <v>352</v>
      </c>
      <c r="F42" s="89" t="s">
        <v>225</v>
      </c>
      <c r="G42" s="74" t="s">
        <v>416</v>
      </c>
      <c r="H42" s="72" t="str">
        <f>IFERROR(VLOOKUP(C42,DATA!$A$11:$L$40,3,FALSE),"")</f>
        <v>FRESH DURIAN</v>
      </c>
      <c r="I42" s="84" t="s">
        <v>417</v>
      </c>
      <c r="J42" s="76" t="s">
        <v>416</v>
      </c>
      <c r="K42" s="76" t="s">
        <v>418</v>
      </c>
      <c r="L42" s="77" t="s">
        <v>415</v>
      </c>
      <c r="M42" s="78" t="str">
        <f>IFERROR(VLOOKUP(C42,DATA!$A$11:$L$40,4,FALSE),"")</f>
        <v>5.00</v>
      </c>
      <c r="N42" s="79">
        <f>IFERROR(VLOOKUP(C42,DATA!$A$11:$L$40,5,FALSE),"")</f>
        <v>4.5999999999999996</v>
      </c>
      <c r="O42" s="79">
        <f>IFERROR(VLOOKUP(C42,DATA!$A$11:$L$40,6,FALSE),"")</f>
        <v>19</v>
      </c>
      <c r="P42" s="79">
        <f>IFERROR(VLOOKUP(C42,DATA!$A$11:$L$40,7,FALSE),"")</f>
        <v>17</v>
      </c>
      <c r="Q42" s="80">
        <f>IFERROR(VLOOKUP(C42,DATA!$A$11:$L$40,8,FALSE),"")</f>
        <v>960</v>
      </c>
      <c r="R42" s="72" t="str">
        <f>IFERROR(VLOOKUP(C42,DATA!$A$11:$L$40,9,FALSE),"")</f>
        <v>CARTONS</v>
      </c>
      <c r="S42" s="74">
        <f>IFERROR(VLOOKUP(C42,DATA!$A$11:$L$40,10,FALSE),"")</f>
        <v>13</v>
      </c>
      <c r="T42" s="81" t="str">
        <f>IFERROR(VLOOKUP(C42,DATA!$A$11:$L$40,11,FALSE),"")</f>
        <v>30%</v>
      </c>
      <c r="U42" s="82" t="str">
        <f>IFERROR(VLOOKUP(C42,DATA!$A$11:$L$40,12,FALSE),"")</f>
        <v>BEIJING JUNYAO INTERNATIONAL</v>
      </c>
      <c r="V42" s="72" t="s">
        <v>190</v>
      </c>
      <c r="W42" s="72" t="s">
        <v>198</v>
      </c>
      <c r="X42" s="72" t="s">
        <v>192</v>
      </c>
      <c r="Y42" s="72" t="s">
        <v>231</v>
      </c>
      <c r="Z42" s="73">
        <v>45409</v>
      </c>
      <c r="AA42" s="73" t="s">
        <v>378</v>
      </c>
      <c r="AB42" s="83">
        <v>45413</v>
      </c>
      <c r="AC42" s="83">
        <v>45417</v>
      </c>
      <c r="AD42" s="72" t="s">
        <v>24</v>
      </c>
      <c r="AE42" s="97" t="s">
        <v>379</v>
      </c>
      <c r="AF42" s="72" t="s">
        <v>411</v>
      </c>
      <c r="AG42" s="72" t="s">
        <v>419</v>
      </c>
      <c r="AH42" s="72" t="s">
        <v>420</v>
      </c>
      <c r="AI42" s="72" t="s">
        <v>421</v>
      </c>
      <c r="AJ42" s="72" t="s">
        <v>197</v>
      </c>
      <c r="AK42" s="73">
        <v>45409</v>
      </c>
      <c r="AL42" s="73">
        <v>45411</v>
      </c>
      <c r="AM42" s="73"/>
      <c r="AN42" s="84"/>
      <c r="AO42" s="81">
        <f t="shared" si="4"/>
        <v>-113530000</v>
      </c>
      <c r="AP42" s="81">
        <f t="shared" si="5"/>
        <v>-113530000</v>
      </c>
      <c r="AQ42" s="84"/>
      <c r="AR42" s="85"/>
      <c r="AS42" s="542"/>
      <c r="AT42" s="612"/>
      <c r="AU42" s="590"/>
      <c r="AV42" s="590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</row>
    <row r="43" spans="1:63" ht="18" customHeight="1">
      <c r="A43" s="6" t="s">
        <v>422</v>
      </c>
      <c r="B43" s="60">
        <v>45409</v>
      </c>
      <c r="C43" s="6" t="s">
        <v>96</v>
      </c>
      <c r="D43" s="30">
        <v>10</v>
      </c>
      <c r="E43" s="6" t="s">
        <v>226</v>
      </c>
      <c r="F43" s="5" t="s">
        <v>227</v>
      </c>
      <c r="G43" s="30" t="s">
        <v>423</v>
      </c>
      <c r="H43" s="6" t="str">
        <f>IFERROR(VLOOKUP(C43,DATA!$A$11:$L$40,3,FALSE),"")</f>
        <v>FRESH DURIAN</v>
      </c>
      <c r="I43" s="59" t="s">
        <v>424</v>
      </c>
      <c r="J43" s="7" t="s">
        <v>423</v>
      </c>
      <c r="K43" s="7" t="s">
        <v>425</v>
      </c>
      <c r="L43" s="62" t="s">
        <v>422</v>
      </c>
      <c r="M43" s="37" t="str">
        <f>IFERROR(VLOOKUP(C43,DATA!$A$11:$L$40,4,FALSE),"")</f>
        <v>5.00</v>
      </c>
      <c r="N43" s="28">
        <f>IFERROR(VLOOKUP(C43,DATA!$A$11:$L$40,5,FALSE),"")</f>
        <v>4.5999999999999996</v>
      </c>
      <c r="O43" s="28">
        <f>IFERROR(VLOOKUP(C43,DATA!$A$11:$L$40,6,FALSE),"")</f>
        <v>20</v>
      </c>
      <c r="P43" s="28">
        <f>IFERROR(VLOOKUP(C43,DATA!$A$11:$L$40,7,FALSE),"")</f>
        <v>18</v>
      </c>
      <c r="Q43" s="29">
        <f>IFERROR(VLOOKUP(C43,DATA!$A$11:$L$40,8,FALSE),"")</f>
        <v>960</v>
      </c>
      <c r="R43" s="6" t="str">
        <f>IFERROR(VLOOKUP(C43,DATA!$A$11:$L$40,9,FALSE),"")</f>
        <v>CARTONS</v>
      </c>
      <c r="S43" s="30">
        <f>IFERROR(VLOOKUP(C43,DATA!$A$11:$L$40,10,FALSE),"")</f>
        <v>14</v>
      </c>
      <c r="T43" s="63" t="str">
        <f>IFERROR(VLOOKUP(C43,DATA!$A$11:$L$40,11,FALSE),"")</f>
        <v>35%</v>
      </c>
      <c r="U43" s="32" t="str">
        <f>IFERROR(VLOOKUP(C43,DATA!$A$11:$L$40,12,FALSE),"")</f>
        <v>BEIJING JUNYAO INTERNATIONAL</v>
      </c>
      <c r="V43" s="6" t="s">
        <v>190</v>
      </c>
      <c r="W43" s="6" t="s">
        <v>198</v>
      </c>
      <c r="X43" s="6" t="s">
        <v>192</v>
      </c>
      <c r="Y43" s="6" t="s">
        <v>231</v>
      </c>
      <c r="Z43" s="60">
        <v>45409</v>
      </c>
      <c r="AA43" s="60" t="s">
        <v>378</v>
      </c>
      <c r="AB43" s="64">
        <v>45413</v>
      </c>
      <c r="AC43" s="64">
        <v>45417</v>
      </c>
      <c r="AD43" s="6" t="s">
        <v>24</v>
      </c>
      <c r="AE43" s="95" t="s">
        <v>379</v>
      </c>
      <c r="AF43" s="65" t="s">
        <v>411</v>
      </c>
      <c r="AG43" s="65" t="s">
        <v>426</v>
      </c>
      <c r="AH43" s="65" t="s">
        <v>427</v>
      </c>
      <c r="AI43" s="65" t="s">
        <v>428</v>
      </c>
      <c r="AJ43" s="65" t="s">
        <v>197</v>
      </c>
      <c r="AK43" s="66">
        <v>45409</v>
      </c>
      <c r="AL43" s="66">
        <v>45411</v>
      </c>
      <c r="AM43" s="66"/>
      <c r="AN43" s="68"/>
      <c r="AO43" s="67">
        <f t="shared" si="4"/>
        <v>-113530000</v>
      </c>
      <c r="AP43" s="67">
        <f t="shared" si="5"/>
        <v>-113530000</v>
      </c>
      <c r="AQ43" s="59"/>
    </row>
    <row r="44" spans="1:63" ht="18" customHeight="1">
      <c r="A44" s="6" t="s">
        <v>429</v>
      </c>
      <c r="B44" s="60">
        <v>45409</v>
      </c>
      <c r="C44" s="6" t="s">
        <v>126</v>
      </c>
      <c r="D44" s="30">
        <v>2</v>
      </c>
      <c r="E44" s="5" t="s">
        <v>430</v>
      </c>
      <c r="F44" s="5" t="s">
        <v>234</v>
      </c>
      <c r="G44" s="30" t="s">
        <v>431</v>
      </c>
      <c r="H44" s="6" t="str">
        <f>IFERROR(VLOOKUP(C44,DATA!$A$11:$L$40,3,FALSE),"")</f>
        <v>FRESH DURIAN</v>
      </c>
      <c r="I44" s="59" t="s">
        <v>432</v>
      </c>
      <c r="J44" s="7" t="s">
        <v>431</v>
      </c>
      <c r="K44" s="7" t="s">
        <v>433</v>
      </c>
      <c r="L44" s="62" t="s">
        <v>429</v>
      </c>
      <c r="M44" s="37" t="str">
        <f>IFERROR(VLOOKUP(C44,DATA!$A$11:$L$40,4,FALSE),"")</f>
        <v>5.00</v>
      </c>
      <c r="N44" s="28">
        <f>IFERROR(VLOOKUP(C44,DATA!$A$11:$L$40,5,FALSE),"")</f>
        <v>4.5999999999999996</v>
      </c>
      <c r="O44" s="28">
        <f>IFERROR(VLOOKUP(C44,DATA!$A$11:$L$40,6,FALSE),"")</f>
        <v>19</v>
      </c>
      <c r="P44" s="28">
        <f>IFERROR(VLOOKUP(C44,DATA!$A$11:$L$40,7,FALSE),"")</f>
        <v>17</v>
      </c>
      <c r="Q44" s="29">
        <f>IFERROR(VLOOKUP(C44,DATA!$A$11:$L$40,8,FALSE),"")</f>
        <v>960</v>
      </c>
      <c r="R44" s="6" t="str">
        <f>IFERROR(VLOOKUP(C44,DATA!$A$11:$L$40,9,FALSE),"")</f>
        <v>CARTONS</v>
      </c>
      <c r="S44" s="93">
        <v>12</v>
      </c>
      <c r="T44" s="94">
        <v>0.25</v>
      </c>
      <c r="U44" s="32" t="str">
        <f>IFERROR(VLOOKUP(C44,DATA!$A$11:$L$40,12,FALSE),"")</f>
        <v xml:space="preserve">NAN TIAN DIGITAL TECHNOLOGY (YUNNAN) CO., LTD. </v>
      </c>
      <c r="V44" s="6" t="s">
        <v>190</v>
      </c>
      <c r="W44" s="6" t="s">
        <v>198</v>
      </c>
      <c r="X44" s="6" t="s">
        <v>192</v>
      </c>
      <c r="Y44" s="6" t="s">
        <v>231</v>
      </c>
      <c r="Z44" s="60">
        <v>45409</v>
      </c>
      <c r="AA44" s="60" t="s">
        <v>378</v>
      </c>
      <c r="AB44" s="64">
        <v>45413</v>
      </c>
      <c r="AC44" s="64">
        <v>45417</v>
      </c>
      <c r="AD44" s="6" t="s">
        <v>24</v>
      </c>
      <c r="AE44" s="95" t="s">
        <v>379</v>
      </c>
      <c r="AF44" s="65" t="s">
        <v>411</v>
      </c>
      <c r="AG44" s="65" t="s">
        <v>434</v>
      </c>
      <c r="AH44" s="65" t="s">
        <v>435</v>
      </c>
      <c r="AI44" s="65" t="s">
        <v>436</v>
      </c>
      <c r="AJ44" s="65" t="s">
        <v>197</v>
      </c>
      <c r="AK44" s="66">
        <v>45409</v>
      </c>
      <c r="AL44" s="66">
        <v>45411</v>
      </c>
      <c r="AM44" s="66"/>
      <c r="AN44" s="68"/>
      <c r="AO44" s="67">
        <f t="shared" si="4"/>
        <v>-113530000</v>
      </c>
      <c r="AP44" s="67">
        <f t="shared" si="5"/>
        <v>-113530000</v>
      </c>
      <c r="AQ44" s="59"/>
    </row>
    <row r="45" spans="1:63" ht="18" customHeight="1">
      <c r="A45" s="6" t="s">
        <v>437</v>
      </c>
      <c r="B45" s="60">
        <v>45409</v>
      </c>
      <c r="C45" s="6" t="s">
        <v>123</v>
      </c>
      <c r="D45" s="30">
        <v>4</v>
      </c>
      <c r="E45" s="5" t="s">
        <v>352</v>
      </c>
      <c r="F45" s="5" t="s">
        <v>225</v>
      </c>
      <c r="G45" s="30" t="s">
        <v>438</v>
      </c>
      <c r="H45" s="6" t="str">
        <f>IFERROR(VLOOKUP(C45,DATA!$A$11:$L$40,3,FALSE),"")</f>
        <v>FRESH DURIAN</v>
      </c>
      <c r="I45" s="59" t="s">
        <v>439</v>
      </c>
      <c r="J45" s="7" t="s">
        <v>438</v>
      </c>
      <c r="K45" s="7" t="s">
        <v>440</v>
      </c>
      <c r="L45" s="62" t="s">
        <v>437</v>
      </c>
      <c r="M45" s="37" t="str">
        <f>IFERROR(VLOOKUP(C45,DATA!$A$11:$L$40,4,FALSE),"")</f>
        <v>5.00</v>
      </c>
      <c r="N45" s="28">
        <f>IFERROR(VLOOKUP(C45,DATA!$A$11:$L$40,5,FALSE),"")</f>
        <v>4.5999999999999996</v>
      </c>
      <c r="O45" s="28">
        <f>IFERROR(VLOOKUP(C45,DATA!$A$11:$L$40,6,FALSE),"")</f>
        <v>19</v>
      </c>
      <c r="P45" s="28">
        <f>IFERROR(VLOOKUP(C45,DATA!$A$11:$L$40,7,FALSE),"")</f>
        <v>17</v>
      </c>
      <c r="Q45" s="29">
        <f>IFERROR(VLOOKUP(C45,DATA!$A$11:$L$40,8,FALSE),"")</f>
        <v>960</v>
      </c>
      <c r="R45" s="6" t="str">
        <f>IFERROR(VLOOKUP(C45,DATA!$A$11:$L$40,9,FALSE),"")</f>
        <v>CARTONS</v>
      </c>
      <c r="S45" s="30">
        <f>IFERROR(VLOOKUP(C45,DATA!$A$11:$L$40,10,FALSE),"")</f>
        <v>13</v>
      </c>
      <c r="T45" s="63" t="str">
        <f>IFERROR(VLOOKUP(C45,DATA!$A$11:$L$40,11,FALSE),"")</f>
        <v>30%</v>
      </c>
      <c r="U45" s="32" t="str">
        <f>IFERROR(VLOOKUP(C45,DATA!$A$11:$L$40,12,FALSE),"")</f>
        <v>BEIJING JUNYAO INTERNATIONAL</v>
      </c>
      <c r="V45" s="6" t="s">
        <v>190</v>
      </c>
      <c r="W45" s="6" t="s">
        <v>198</v>
      </c>
      <c r="X45" s="6" t="s">
        <v>192</v>
      </c>
      <c r="Y45" s="6" t="s">
        <v>231</v>
      </c>
      <c r="Z45" s="60">
        <v>45409</v>
      </c>
      <c r="AA45" s="60" t="s">
        <v>378</v>
      </c>
      <c r="AB45" s="64">
        <v>45413</v>
      </c>
      <c r="AC45" s="64">
        <v>45417</v>
      </c>
      <c r="AD45" s="6" t="s">
        <v>24</v>
      </c>
      <c r="AE45" s="95" t="s">
        <v>379</v>
      </c>
      <c r="AF45" s="65" t="s">
        <v>411</v>
      </c>
      <c r="AG45" s="65" t="s">
        <v>441</v>
      </c>
      <c r="AH45" s="65" t="s">
        <v>442</v>
      </c>
      <c r="AI45" s="65" t="s">
        <v>443</v>
      </c>
      <c r="AJ45" s="65" t="s">
        <v>197</v>
      </c>
      <c r="AK45" s="66">
        <v>45409</v>
      </c>
      <c r="AL45" s="66">
        <v>45411</v>
      </c>
      <c r="AM45" s="66"/>
      <c r="AN45" s="68"/>
      <c r="AO45" s="67">
        <f t="shared" si="4"/>
        <v>-113530000</v>
      </c>
      <c r="AP45" s="67">
        <f t="shared" si="5"/>
        <v>-113530000</v>
      </c>
      <c r="AQ45" s="59"/>
    </row>
    <row r="46" spans="1:63" ht="18" customHeight="1">
      <c r="A46" s="6" t="s">
        <v>444</v>
      </c>
      <c r="B46" s="60">
        <v>45409</v>
      </c>
      <c r="C46" s="6" t="s">
        <v>132</v>
      </c>
      <c r="D46" s="30">
        <v>1</v>
      </c>
      <c r="E46" s="6" t="s">
        <v>445</v>
      </c>
      <c r="F46" s="5" t="s">
        <v>227</v>
      </c>
      <c r="G46" s="30" t="s">
        <v>446</v>
      </c>
      <c r="H46" s="6" t="str">
        <f>IFERROR(VLOOKUP(C46,DATA!$A$11:$L$40,3,FALSE),"")</f>
        <v>FRESH DURIAN</v>
      </c>
      <c r="I46" s="59" t="s">
        <v>447</v>
      </c>
      <c r="J46" s="7" t="s">
        <v>446</v>
      </c>
      <c r="K46" s="7" t="s">
        <v>448</v>
      </c>
      <c r="L46" s="62" t="s">
        <v>444</v>
      </c>
      <c r="M46" s="37">
        <f>IFERROR(VLOOKUP(C46,DATA!$A$11:$L$40,4,FALSE),"")</f>
        <v>4.8</v>
      </c>
      <c r="N46" s="28">
        <f>IFERROR(VLOOKUP(C46,DATA!$A$11:$L$40,5,FALSE),"")</f>
        <v>4.4000000000000004</v>
      </c>
      <c r="O46" s="28">
        <f>IFERROR(VLOOKUP(C46,DATA!$A$11:$L$40,6,FALSE),"")</f>
        <v>19</v>
      </c>
      <c r="P46" s="28">
        <f>IFERROR(VLOOKUP(C46,DATA!$A$11:$L$40,7,FALSE),"")</f>
        <v>17</v>
      </c>
      <c r="Q46" s="29">
        <f>IFERROR(VLOOKUP(C46,DATA!$A$11:$L$40,8,FALSE),"")</f>
        <v>960</v>
      </c>
      <c r="R46" s="6" t="str">
        <f>IFERROR(VLOOKUP(C46,DATA!$A$11:$L$40,9,FALSE),"")</f>
        <v>CARTONS</v>
      </c>
      <c r="S46" s="30">
        <f>IFERROR(VLOOKUP(C46,DATA!$A$11:$L$40,10,FALSE),"")</f>
        <v>13</v>
      </c>
      <c r="T46" s="63" t="str">
        <f>IFERROR(VLOOKUP(C46,DATA!$A$11:$L$40,11,FALSE),"")</f>
        <v>30%</v>
      </c>
      <c r="U46" s="32" t="str">
        <f>IFERROR(VLOOKUP(C46,DATA!$A$11:$L$40,12,FALSE),"")</f>
        <v>BEIJING JUNYAO INTERNATIONAL</v>
      </c>
      <c r="V46" s="6" t="s">
        <v>190</v>
      </c>
      <c r="W46" s="6" t="s">
        <v>198</v>
      </c>
      <c r="X46" s="6" t="s">
        <v>192</v>
      </c>
      <c r="Y46" s="6" t="s">
        <v>231</v>
      </c>
      <c r="Z46" s="60">
        <v>45409</v>
      </c>
      <c r="AA46" s="60" t="s">
        <v>378</v>
      </c>
      <c r="AB46" s="64">
        <v>45413</v>
      </c>
      <c r="AC46" s="64">
        <v>45417</v>
      </c>
      <c r="AD46" s="6" t="s">
        <v>24</v>
      </c>
      <c r="AE46" s="95" t="s">
        <v>379</v>
      </c>
      <c r="AF46" s="65" t="s">
        <v>411</v>
      </c>
      <c r="AG46" s="65" t="s">
        <v>449</v>
      </c>
      <c r="AH46" s="65" t="s">
        <v>450</v>
      </c>
      <c r="AI46" s="65" t="s">
        <v>451</v>
      </c>
      <c r="AJ46" s="65" t="s">
        <v>197</v>
      </c>
      <c r="AK46" s="66">
        <v>45409</v>
      </c>
      <c r="AL46" s="66">
        <v>45411</v>
      </c>
      <c r="AM46" s="66"/>
      <c r="AN46" s="68"/>
      <c r="AO46" s="67">
        <f t="shared" si="4"/>
        <v>-113530000</v>
      </c>
      <c r="AP46" s="67">
        <f t="shared" si="5"/>
        <v>-113530000</v>
      </c>
      <c r="AQ46" s="59"/>
    </row>
    <row r="47" spans="1:63" ht="18" customHeight="1">
      <c r="A47" s="6" t="s">
        <v>452</v>
      </c>
      <c r="B47" s="60">
        <v>45410</v>
      </c>
      <c r="C47" s="6" t="s">
        <v>131</v>
      </c>
      <c r="D47" s="30">
        <v>1</v>
      </c>
      <c r="E47" s="6" t="s">
        <v>453</v>
      </c>
      <c r="F47" s="6" t="s">
        <v>454</v>
      </c>
      <c r="G47" s="6" t="str">
        <f t="shared" ref="G47:G71" si="6">J47</f>
        <v>SEKU9255480</v>
      </c>
      <c r="H47" s="6" t="str">
        <f>IFERROR(VLOOKUP(C47,DATA!$A$11:$L$40,3,FALSE),"")</f>
        <v>FRESH DURIAN</v>
      </c>
      <c r="I47" s="59" t="s">
        <v>455</v>
      </c>
      <c r="J47" s="7" t="s">
        <v>456</v>
      </c>
      <c r="K47" s="7" t="s">
        <v>457</v>
      </c>
      <c r="L47" s="62" t="s">
        <v>452</v>
      </c>
      <c r="M47" s="37">
        <f>IFERROR(VLOOKUP(C47,DATA!$A$11:$L$40,4,FALSE),"")</f>
        <v>5</v>
      </c>
      <c r="N47" s="37">
        <f>IFERROR(VLOOKUP(C47,DATA!$A$11:$L$40,5,FALSE),"")</f>
        <v>4.5999999999999996</v>
      </c>
      <c r="O47" s="28">
        <f>IFERROR(VLOOKUP(C47,DATA!$A$11:$L$40,6,FALSE),"")</f>
        <v>19</v>
      </c>
      <c r="P47" s="28">
        <f>IFERROR(VLOOKUP(C47,DATA!$A$11:$L$40,7,FALSE),"")</f>
        <v>18</v>
      </c>
      <c r="Q47" s="29">
        <f>IFERROR(VLOOKUP(C47,DATA!$A$11:$L$40,8,FALSE),"")</f>
        <v>960</v>
      </c>
      <c r="R47" s="6" t="str">
        <f>IFERROR(VLOOKUP(C47,DATA!$A$11:$L$40,9,FALSE),"")</f>
        <v>CARTONS</v>
      </c>
      <c r="S47" s="93">
        <v>13</v>
      </c>
      <c r="T47" s="94">
        <v>0.35</v>
      </c>
      <c r="U47" s="32" t="str">
        <f>IFERROR(VLOOKUP(C47,DATA!$A$11:$L$40,12,FALSE),"")</f>
        <v>ZHONGSHAN ZHENGTONG TRADING CO.,LTD</v>
      </c>
      <c r="V47" s="6" t="s">
        <v>190</v>
      </c>
      <c r="W47" s="6" t="s">
        <v>198</v>
      </c>
      <c r="X47" s="6" t="s">
        <v>192</v>
      </c>
      <c r="Y47" s="6" t="s">
        <v>231</v>
      </c>
      <c r="Z47" s="60">
        <v>45410</v>
      </c>
      <c r="AA47" s="60" t="s">
        <v>458</v>
      </c>
      <c r="AB47" s="64">
        <v>45416</v>
      </c>
      <c r="AC47" s="64">
        <v>45420</v>
      </c>
      <c r="AD47" s="6" t="s">
        <v>24</v>
      </c>
      <c r="AE47" s="95" t="s">
        <v>379</v>
      </c>
      <c r="AF47" s="65" t="s">
        <v>199</v>
      </c>
      <c r="AG47" s="65" t="s">
        <v>235</v>
      </c>
      <c r="AH47" s="65" t="s">
        <v>203</v>
      </c>
      <c r="AI47" s="65" t="s">
        <v>236</v>
      </c>
      <c r="AJ47" s="65" t="s">
        <v>197</v>
      </c>
      <c r="AK47" s="66">
        <v>45410</v>
      </c>
      <c r="AL47" s="66">
        <v>45415</v>
      </c>
      <c r="AM47" s="66"/>
      <c r="AN47" s="68"/>
      <c r="AO47" s="67">
        <f t="shared" si="4"/>
        <v>-113532500</v>
      </c>
      <c r="AP47" s="67">
        <f t="shared" si="5"/>
        <v>-113532500</v>
      </c>
      <c r="AQ47" s="59"/>
    </row>
    <row r="48" spans="1:63" ht="18" customHeight="1">
      <c r="A48" s="6" t="s">
        <v>459</v>
      </c>
      <c r="B48" s="60">
        <v>45410</v>
      </c>
      <c r="C48" s="6" t="s">
        <v>128</v>
      </c>
      <c r="D48" s="30">
        <v>4</v>
      </c>
      <c r="E48" s="6" t="s">
        <v>310</v>
      </c>
      <c r="F48" s="6" t="s">
        <v>311</v>
      </c>
      <c r="G48" s="6" t="str">
        <f t="shared" si="6"/>
        <v>AMCU9308039</v>
      </c>
      <c r="H48" s="6" t="str">
        <f>IFERROR(VLOOKUP(C48,DATA!$A$11:$L$40,3,FALSE),"")</f>
        <v>FRESH DURIAN</v>
      </c>
      <c r="I48" s="59" t="s">
        <v>460</v>
      </c>
      <c r="J48" s="7" t="s">
        <v>461</v>
      </c>
      <c r="K48" s="7" t="s">
        <v>462</v>
      </c>
      <c r="L48" s="62" t="s">
        <v>459</v>
      </c>
      <c r="M48" s="37">
        <f>IFERROR(VLOOKUP(C48,DATA!$A$11:$L$40,4,FALSE),"")</f>
        <v>35.5</v>
      </c>
      <c r="N48" s="37">
        <f>IFERROR(VLOOKUP(C48,DATA!$A$11:$L$40,5,FALSE),"")</f>
        <v>33.5</v>
      </c>
      <c r="O48" s="28">
        <f>IFERROR(VLOOKUP(C48,DATA!$A$11:$L$40,6,FALSE),"")</f>
        <v>19</v>
      </c>
      <c r="P48" s="28">
        <f>IFERROR(VLOOKUP(C48,DATA!$A$11:$L$40,7,FALSE),"")</f>
        <v>17</v>
      </c>
      <c r="Q48" s="29">
        <f>IFERROR(VLOOKUP(C48,DATA!$A$11:$L$40,8,FALSE),"")</f>
        <v>960</v>
      </c>
      <c r="R48" s="6" t="str">
        <f>IFERROR(VLOOKUP(C48,DATA!$A$11:$L$40,9,FALSE),"")</f>
        <v>CARTONS</v>
      </c>
      <c r="S48" s="30">
        <f>IFERROR(VLOOKUP(C48,DATA!$A$11:$L$40,10,FALSE),"")</f>
        <v>11</v>
      </c>
      <c r="T48" s="63" t="str">
        <f>IFERROR(VLOOKUP(C48,DATA!$A$11:$L$40,11,FALSE),"")</f>
        <v>25%</v>
      </c>
      <c r="U48" s="32" t="str">
        <f>IFERROR(VLOOKUP(C48,DATA!$A$11:$L$40,12,FALSE),"")</f>
        <v>SAMBA SUPPLY CHAIN (SHANGHAI) CO., LTD</v>
      </c>
      <c r="V48" s="6" t="s">
        <v>190</v>
      </c>
      <c r="W48" s="6" t="s">
        <v>198</v>
      </c>
      <c r="X48" s="6" t="s">
        <v>192</v>
      </c>
      <c r="Y48" s="6" t="s">
        <v>231</v>
      </c>
      <c r="Z48" s="60">
        <v>45410</v>
      </c>
      <c r="AA48" s="60" t="s">
        <v>378</v>
      </c>
      <c r="AB48" s="64">
        <v>45413</v>
      </c>
      <c r="AC48" s="64">
        <v>45417</v>
      </c>
      <c r="AD48" s="6" t="s">
        <v>24</v>
      </c>
      <c r="AE48" s="95" t="s">
        <v>379</v>
      </c>
      <c r="AF48" s="65" t="s">
        <v>201</v>
      </c>
      <c r="AG48" s="65" t="s">
        <v>463</v>
      </c>
      <c r="AH48" s="65" t="s">
        <v>327</v>
      </c>
      <c r="AI48" s="65" t="s">
        <v>464</v>
      </c>
      <c r="AJ48" s="65" t="s">
        <v>197</v>
      </c>
      <c r="AK48" s="66">
        <v>45410</v>
      </c>
      <c r="AL48" s="66">
        <v>45411</v>
      </c>
      <c r="AM48" s="66"/>
      <c r="AN48" s="68"/>
      <c r="AO48" s="67">
        <f t="shared" si="4"/>
        <v>-113532500</v>
      </c>
      <c r="AP48" s="67">
        <f t="shared" si="5"/>
        <v>-113532500</v>
      </c>
      <c r="AQ48" s="59"/>
    </row>
    <row r="49" spans="1:63" ht="18" customHeight="1">
      <c r="A49" s="6" t="s">
        <v>465</v>
      </c>
      <c r="B49" s="60">
        <v>45410</v>
      </c>
      <c r="C49" s="6" t="s">
        <v>128</v>
      </c>
      <c r="D49" s="30">
        <v>5</v>
      </c>
      <c r="E49" s="6" t="s">
        <v>310</v>
      </c>
      <c r="F49" s="6" t="s">
        <v>311</v>
      </c>
      <c r="G49" s="6" t="str">
        <f t="shared" si="6"/>
        <v>CGMU5612568</v>
      </c>
      <c r="H49" s="6" t="str">
        <f>IFERROR(VLOOKUP(C49,DATA!$A$11:$L$40,3,FALSE),"")</f>
        <v>FRESH DURIAN</v>
      </c>
      <c r="I49" s="59" t="s">
        <v>466</v>
      </c>
      <c r="J49" s="7" t="s">
        <v>467</v>
      </c>
      <c r="K49" s="7" t="s">
        <v>468</v>
      </c>
      <c r="L49" s="62" t="s">
        <v>465</v>
      </c>
      <c r="M49" s="37">
        <f>IFERROR(VLOOKUP(C49,DATA!$A$11:$L$40,4,FALSE),"")</f>
        <v>35.5</v>
      </c>
      <c r="N49" s="37">
        <f>IFERROR(VLOOKUP(C49,DATA!$A$11:$L$40,5,FALSE),"")</f>
        <v>33.5</v>
      </c>
      <c r="O49" s="28">
        <f>IFERROR(VLOOKUP(C49,DATA!$A$11:$L$40,6,FALSE),"")</f>
        <v>19</v>
      </c>
      <c r="P49" s="28">
        <f>IFERROR(VLOOKUP(C49,DATA!$A$11:$L$40,7,FALSE),"")</f>
        <v>17</v>
      </c>
      <c r="Q49" s="29">
        <f>IFERROR(VLOOKUP(C49,DATA!$A$11:$L$40,8,FALSE),"")</f>
        <v>960</v>
      </c>
      <c r="R49" s="6" t="str">
        <f>IFERROR(VLOOKUP(C49,DATA!$A$11:$L$40,9,FALSE),"")</f>
        <v>CARTONS</v>
      </c>
      <c r="S49" s="30">
        <f>IFERROR(VLOOKUP(C49,DATA!$A$11:$L$40,10,FALSE),"")</f>
        <v>11</v>
      </c>
      <c r="T49" s="63" t="str">
        <f>IFERROR(VLOOKUP(C49,DATA!$A$11:$L$40,11,FALSE),"")</f>
        <v>25%</v>
      </c>
      <c r="U49" s="32" t="str">
        <f>IFERROR(VLOOKUP(C49,DATA!$A$11:$L$40,12,FALSE),"")</f>
        <v>SAMBA SUPPLY CHAIN (SHANGHAI) CO., LTD</v>
      </c>
      <c r="V49" s="6" t="s">
        <v>190</v>
      </c>
      <c r="W49" s="6" t="s">
        <v>198</v>
      </c>
      <c r="X49" s="6" t="s">
        <v>192</v>
      </c>
      <c r="Y49" s="6" t="s">
        <v>231</v>
      </c>
      <c r="Z49" s="60">
        <v>45410</v>
      </c>
      <c r="AA49" s="60" t="s">
        <v>378</v>
      </c>
      <c r="AB49" s="64">
        <v>45413</v>
      </c>
      <c r="AC49" s="64">
        <v>45417</v>
      </c>
      <c r="AD49" s="6" t="s">
        <v>24</v>
      </c>
      <c r="AE49" s="95" t="s">
        <v>379</v>
      </c>
      <c r="AF49" s="65" t="s">
        <v>201</v>
      </c>
      <c r="AG49" s="65" t="s">
        <v>326</v>
      </c>
      <c r="AH49" s="65" t="s">
        <v>327</v>
      </c>
      <c r="AI49" s="65" t="s">
        <v>401</v>
      </c>
      <c r="AJ49" s="65" t="s">
        <v>197</v>
      </c>
      <c r="AK49" s="66">
        <v>45410</v>
      </c>
      <c r="AL49" s="66">
        <v>45411</v>
      </c>
      <c r="AM49" s="66"/>
      <c r="AN49" s="68"/>
      <c r="AO49" s="67">
        <f t="shared" si="4"/>
        <v>-113532500</v>
      </c>
      <c r="AP49" s="67">
        <f t="shared" si="5"/>
        <v>-113532500</v>
      </c>
      <c r="AQ49" s="59"/>
    </row>
    <row r="50" spans="1:63" ht="18" customHeight="1">
      <c r="A50" s="6" t="s">
        <v>469</v>
      </c>
      <c r="B50" s="60">
        <v>45410</v>
      </c>
      <c r="C50" s="6" t="s">
        <v>133</v>
      </c>
      <c r="D50" s="30">
        <v>2</v>
      </c>
      <c r="E50" s="6" t="s">
        <v>124</v>
      </c>
      <c r="F50" s="5" t="s">
        <v>238</v>
      </c>
      <c r="G50" s="6" t="str">
        <f t="shared" si="6"/>
        <v>CGMU6920879</v>
      </c>
      <c r="H50" s="93" t="s">
        <v>134</v>
      </c>
      <c r="I50" s="59" t="s">
        <v>470</v>
      </c>
      <c r="J50" s="7" t="s">
        <v>471</v>
      </c>
      <c r="K50" s="7" t="s">
        <v>472</v>
      </c>
      <c r="L50" s="62" t="s">
        <v>469</v>
      </c>
      <c r="M50" s="37">
        <f>IFERROR(VLOOKUP(C50,DATA!$A$11:$L$40,4,FALSE),"")</f>
        <v>2.16</v>
      </c>
      <c r="N50" s="37">
        <f>IFERROR(VLOOKUP(C50,DATA!$A$11:$L$40,5,FALSE),"")</f>
        <v>1.9</v>
      </c>
      <c r="O50" s="28">
        <f>IFERROR(VLOOKUP(C50,DATA!$A$11:$L$40,6,FALSE),"")</f>
        <v>8</v>
      </c>
      <c r="P50" s="28">
        <f>IFERROR(VLOOKUP(C50,DATA!$A$11:$L$40,7,FALSE),"")</f>
        <v>6</v>
      </c>
      <c r="Q50" s="29">
        <f>IFERROR(VLOOKUP(C50,DATA!$A$11:$L$40,8,FALSE),"")</f>
        <v>2400</v>
      </c>
      <c r="R50" s="6" t="str">
        <f>IFERROR(VLOOKUP(C50,DATA!$A$11:$L$40,9,FALSE),"")</f>
        <v>PLASTIC BASKETS</v>
      </c>
      <c r="S50" s="30">
        <f>IFERROR(VLOOKUP(C50,DATA!$A$11:$L$40,10,FALSE),"")</f>
        <v>13</v>
      </c>
      <c r="T50" s="96" t="s">
        <v>136</v>
      </c>
      <c r="U50" s="32" t="str">
        <f>IFERROR(VLOOKUP(C50,DATA!$A$11:$L$40,12,FALSE),"")</f>
        <v>SICHUAN COMMERCIAL INVESTMENT INVESTMENT CO,LTD</v>
      </c>
      <c r="V50" s="6" t="s">
        <v>190</v>
      </c>
      <c r="W50" s="6" t="s">
        <v>198</v>
      </c>
      <c r="X50" s="6" t="s">
        <v>192</v>
      </c>
      <c r="Y50" s="6" t="s">
        <v>231</v>
      </c>
      <c r="Z50" s="60">
        <v>45410</v>
      </c>
      <c r="AA50" s="60" t="s">
        <v>378</v>
      </c>
      <c r="AB50" s="64">
        <v>45413</v>
      </c>
      <c r="AC50" s="64">
        <v>45417</v>
      </c>
      <c r="AD50" s="6" t="s">
        <v>24</v>
      </c>
      <c r="AE50" s="95" t="s">
        <v>379</v>
      </c>
      <c r="AF50" s="65" t="s">
        <v>201</v>
      </c>
      <c r="AG50" s="65" t="s">
        <v>205</v>
      </c>
      <c r="AH50" s="65" t="s">
        <v>206</v>
      </c>
      <c r="AI50" s="65" t="s">
        <v>473</v>
      </c>
      <c r="AJ50" s="65" t="s">
        <v>197</v>
      </c>
      <c r="AK50" s="66">
        <v>45410</v>
      </c>
      <c r="AL50" s="66">
        <v>45411</v>
      </c>
      <c r="AM50" s="66"/>
      <c r="AN50" s="68"/>
      <c r="AO50" s="67">
        <f t="shared" si="4"/>
        <v>-113532500</v>
      </c>
      <c r="AP50" s="67">
        <f t="shared" si="5"/>
        <v>-113532500</v>
      </c>
      <c r="AQ50" s="59"/>
    </row>
    <row r="51" spans="1:63" ht="18" customHeight="1">
      <c r="A51" s="6" t="s">
        <v>474</v>
      </c>
      <c r="B51" s="60">
        <v>45411</v>
      </c>
      <c r="C51" s="6" t="s">
        <v>124</v>
      </c>
      <c r="D51" s="30">
        <v>4</v>
      </c>
      <c r="E51" s="6" t="s">
        <v>124</v>
      </c>
      <c r="F51" s="5" t="s">
        <v>238</v>
      </c>
      <c r="G51" s="6" t="str">
        <f t="shared" si="6"/>
        <v>SEKU9110240</v>
      </c>
      <c r="H51" s="6" t="str">
        <f>IFERROR(VLOOKUP(C51,DATA!$A$11:$L$40,3,FALSE),"")</f>
        <v>FRESH DURIAN</v>
      </c>
      <c r="I51" s="98" t="s">
        <v>475</v>
      </c>
      <c r="J51" s="7" t="s">
        <v>476</v>
      </c>
      <c r="K51" s="7" t="s">
        <v>477</v>
      </c>
      <c r="L51" s="62" t="s">
        <v>474</v>
      </c>
      <c r="M51" s="37">
        <f>IFERROR(VLOOKUP(C51,DATA!$A$11:$L$40,4,FALSE),"")</f>
        <v>5.1100000000000003</v>
      </c>
      <c r="N51" s="37">
        <f>IFERROR(VLOOKUP(C51,DATA!$A$11:$L$40,5,FALSE),"")</f>
        <v>5.0599999999999996</v>
      </c>
      <c r="O51" s="28">
        <f>IFERROR(VLOOKUP(C51,DATA!$A$11:$L$40,6,FALSE),"")</f>
        <v>19</v>
      </c>
      <c r="P51" s="28">
        <f>IFERROR(VLOOKUP(C51,DATA!$A$11:$L$40,7,FALSE),"")</f>
        <v>17</v>
      </c>
      <c r="Q51" s="29">
        <f>IFERROR(VLOOKUP(C51,DATA!$A$11:$L$40,8,FALSE),"")</f>
        <v>960</v>
      </c>
      <c r="R51" s="6" t="str">
        <f>IFERROR(VLOOKUP(C51,DATA!$A$11:$L$40,9,FALSE),"")</f>
        <v>CARTONS</v>
      </c>
      <c r="S51" s="30">
        <f>IFERROR(VLOOKUP(C51,DATA!$A$11:$L$40,10,FALSE),"")</f>
        <v>13</v>
      </c>
      <c r="T51" s="63" t="str">
        <f>IFERROR(VLOOKUP(C51,DATA!$A$11:$L$40,11,FALSE),"")</f>
        <v>30%</v>
      </c>
      <c r="U51" s="32" t="str">
        <f>IFERROR(VLOOKUP(C51,DATA!$A$11:$L$40,12,FALSE),"")</f>
        <v>Foshan City International Trade Co., Ltd</v>
      </c>
      <c r="V51" s="6" t="s">
        <v>190</v>
      </c>
      <c r="W51" s="5" t="s">
        <v>478</v>
      </c>
      <c r="X51" s="6" t="s">
        <v>192</v>
      </c>
      <c r="Y51" s="6" t="s">
        <v>222</v>
      </c>
      <c r="Z51" s="60">
        <v>45411</v>
      </c>
      <c r="AA51" s="60" t="s">
        <v>479</v>
      </c>
      <c r="AB51" s="64">
        <v>45415</v>
      </c>
      <c r="AC51" s="64">
        <v>45419</v>
      </c>
      <c r="AD51" s="6" t="s">
        <v>24</v>
      </c>
      <c r="AE51" s="95" t="s">
        <v>480</v>
      </c>
      <c r="AF51" s="65" t="s">
        <v>228</v>
      </c>
      <c r="AG51" s="65" t="s">
        <v>301</v>
      </c>
      <c r="AH51" s="65" t="s">
        <v>302</v>
      </c>
      <c r="AI51" s="65" t="s">
        <v>481</v>
      </c>
      <c r="AJ51" s="65" t="s">
        <v>197</v>
      </c>
      <c r="AK51" s="66">
        <v>45411</v>
      </c>
      <c r="AL51" s="66">
        <v>45412</v>
      </c>
      <c r="AM51" s="66"/>
      <c r="AN51" s="68"/>
      <c r="AO51" s="67">
        <f t="shared" si="4"/>
        <v>-113535000</v>
      </c>
      <c r="AP51" s="67">
        <f t="shared" si="5"/>
        <v>-113535000</v>
      </c>
      <c r="AQ51" s="59"/>
    </row>
    <row r="52" spans="1:63" ht="18" customHeight="1">
      <c r="A52" s="6" t="s">
        <v>482</v>
      </c>
      <c r="B52" s="60">
        <v>45411</v>
      </c>
      <c r="C52" s="6" t="s">
        <v>124</v>
      </c>
      <c r="D52" s="30">
        <v>5</v>
      </c>
      <c r="E52" s="6" t="s">
        <v>124</v>
      </c>
      <c r="F52" s="5" t="s">
        <v>238</v>
      </c>
      <c r="G52" s="6" t="str">
        <f t="shared" si="6"/>
        <v>SEKU9157273</v>
      </c>
      <c r="H52" s="6" t="str">
        <f>IFERROR(VLOOKUP(C52,DATA!$A$11:$L$40,3,FALSE),"")</f>
        <v>FRESH DURIAN</v>
      </c>
      <c r="I52" s="98" t="s">
        <v>483</v>
      </c>
      <c r="J52" s="7" t="s">
        <v>484</v>
      </c>
      <c r="K52" s="7" t="s">
        <v>485</v>
      </c>
      <c r="L52" s="62" t="s">
        <v>482</v>
      </c>
      <c r="M52" s="37">
        <f>IFERROR(VLOOKUP(C52,DATA!$A$11:$L$40,4,FALSE),"")</f>
        <v>5.1100000000000003</v>
      </c>
      <c r="N52" s="37">
        <f>IFERROR(VLOOKUP(C52,DATA!$A$11:$L$40,5,FALSE),"")</f>
        <v>5.0599999999999996</v>
      </c>
      <c r="O52" s="28">
        <f>IFERROR(VLOOKUP(C52,DATA!$A$11:$L$40,6,FALSE),"")</f>
        <v>19</v>
      </c>
      <c r="P52" s="28">
        <f>IFERROR(VLOOKUP(C52,DATA!$A$11:$L$40,7,FALSE),"")</f>
        <v>17</v>
      </c>
      <c r="Q52" s="29">
        <f>IFERROR(VLOOKUP(C52,DATA!$A$11:$L$40,8,FALSE),"")</f>
        <v>960</v>
      </c>
      <c r="R52" s="6" t="str">
        <f>IFERROR(VLOOKUP(C52,DATA!$A$11:$L$40,9,FALSE),"")</f>
        <v>CARTONS</v>
      </c>
      <c r="S52" s="30">
        <f>IFERROR(VLOOKUP(C52,DATA!$A$11:$L$40,10,FALSE),"")</f>
        <v>13</v>
      </c>
      <c r="T52" s="63" t="str">
        <f>IFERROR(VLOOKUP(C52,DATA!$A$11:$L$40,11,FALSE),"")</f>
        <v>30%</v>
      </c>
      <c r="U52" s="32" t="str">
        <f>IFERROR(VLOOKUP(C52,DATA!$A$11:$L$40,12,FALSE),"")</f>
        <v>Foshan City International Trade Co., Ltd</v>
      </c>
      <c r="V52" s="6" t="s">
        <v>190</v>
      </c>
      <c r="W52" s="5" t="s">
        <v>478</v>
      </c>
      <c r="X52" s="6" t="s">
        <v>192</v>
      </c>
      <c r="Y52" s="6" t="s">
        <v>222</v>
      </c>
      <c r="Z52" s="60">
        <v>45411</v>
      </c>
      <c r="AA52" s="60" t="s">
        <v>479</v>
      </c>
      <c r="AB52" s="64">
        <v>45415</v>
      </c>
      <c r="AC52" s="64">
        <v>45419</v>
      </c>
      <c r="AD52" s="6" t="s">
        <v>24</v>
      </c>
      <c r="AE52" s="95" t="s">
        <v>480</v>
      </c>
      <c r="AF52" s="65" t="s">
        <v>201</v>
      </c>
      <c r="AG52" s="65" t="s">
        <v>205</v>
      </c>
      <c r="AH52" s="65" t="s">
        <v>206</v>
      </c>
      <c r="AI52" s="65" t="s">
        <v>473</v>
      </c>
      <c r="AJ52" s="65" t="s">
        <v>197</v>
      </c>
      <c r="AK52" s="66">
        <v>45411</v>
      </c>
      <c r="AL52" s="66">
        <v>45412</v>
      </c>
      <c r="AM52" s="66"/>
      <c r="AN52" s="68"/>
      <c r="AO52" s="67">
        <f t="shared" si="4"/>
        <v>-113535000</v>
      </c>
      <c r="AP52" s="67">
        <f t="shared" si="5"/>
        <v>-113535000</v>
      </c>
      <c r="AQ52" s="59"/>
    </row>
    <row r="53" spans="1:63" ht="18" customHeight="1">
      <c r="A53" s="72" t="s">
        <v>486</v>
      </c>
      <c r="B53" s="73">
        <v>45411</v>
      </c>
      <c r="C53" s="72" t="s">
        <v>124</v>
      </c>
      <c r="D53" s="74">
        <v>6</v>
      </c>
      <c r="E53" s="72" t="s">
        <v>124</v>
      </c>
      <c r="F53" s="89" t="s">
        <v>238</v>
      </c>
      <c r="G53" s="72" t="str">
        <f t="shared" si="6"/>
        <v>FBIU5068547</v>
      </c>
      <c r="H53" s="72" t="str">
        <f>IFERROR(VLOOKUP(C53,DATA!$A$11:$L$40,3,FALSE),"")</f>
        <v>FRESH DURIAN</v>
      </c>
      <c r="I53" s="99" t="s">
        <v>487</v>
      </c>
      <c r="J53" s="100" t="s">
        <v>488</v>
      </c>
      <c r="K53" s="76" t="s">
        <v>489</v>
      </c>
      <c r="L53" s="77" t="s">
        <v>486</v>
      </c>
      <c r="M53" s="78">
        <f>IFERROR(VLOOKUP(C53,DATA!$A$11:$L$40,4,FALSE),"")</f>
        <v>5.1100000000000003</v>
      </c>
      <c r="N53" s="78">
        <f>IFERROR(VLOOKUP(C53,DATA!$A$11:$L$40,5,FALSE),"")</f>
        <v>5.0599999999999996</v>
      </c>
      <c r="O53" s="79">
        <f>IFERROR(VLOOKUP(C53,DATA!$A$11:$L$40,6,FALSE),"")</f>
        <v>19</v>
      </c>
      <c r="P53" s="79">
        <f>IFERROR(VLOOKUP(C53,DATA!$A$11:$L$40,7,FALSE),"")</f>
        <v>17</v>
      </c>
      <c r="Q53" s="80">
        <f>IFERROR(VLOOKUP(C53,DATA!$A$11:$L$40,8,FALSE),"")</f>
        <v>960</v>
      </c>
      <c r="R53" s="72" t="str">
        <f>IFERROR(VLOOKUP(C53,DATA!$A$11:$L$40,9,FALSE),"")</f>
        <v>CARTONS</v>
      </c>
      <c r="S53" s="74">
        <f>IFERROR(VLOOKUP(C53,DATA!$A$11:$L$40,10,FALSE),"")</f>
        <v>13</v>
      </c>
      <c r="T53" s="81" t="str">
        <f>IFERROR(VLOOKUP(C53,DATA!$A$11:$L$40,11,FALSE),"")</f>
        <v>30%</v>
      </c>
      <c r="U53" s="82" t="str">
        <f>IFERROR(VLOOKUP(C53,DATA!$A$11:$L$40,12,FALSE),"")</f>
        <v>Foshan City International Trade Co., Ltd</v>
      </c>
      <c r="V53" s="72" t="s">
        <v>190</v>
      </c>
      <c r="W53" s="89" t="s">
        <v>490</v>
      </c>
      <c r="X53" s="72" t="s">
        <v>192</v>
      </c>
      <c r="Y53" s="72" t="s">
        <v>491</v>
      </c>
      <c r="Z53" s="73">
        <v>45411</v>
      </c>
      <c r="AA53" s="73" t="s">
        <v>492</v>
      </c>
      <c r="AB53" s="83">
        <v>45417</v>
      </c>
      <c r="AC53" s="83">
        <v>45422</v>
      </c>
      <c r="AD53" s="72" t="s">
        <v>13</v>
      </c>
      <c r="AE53" s="97" t="s">
        <v>493</v>
      </c>
      <c r="AF53" s="72" t="s">
        <v>201</v>
      </c>
      <c r="AG53" s="72" t="s">
        <v>463</v>
      </c>
      <c r="AH53" s="72" t="s">
        <v>327</v>
      </c>
      <c r="AI53" s="72" t="s">
        <v>401</v>
      </c>
      <c r="AJ53" s="72" t="s">
        <v>197</v>
      </c>
      <c r="AK53" s="73">
        <v>45411</v>
      </c>
      <c r="AL53" s="73"/>
      <c r="AM53" s="73"/>
      <c r="AN53" s="84"/>
      <c r="AO53" s="81">
        <f t="shared" si="4"/>
        <v>-113535000</v>
      </c>
      <c r="AP53" s="81">
        <f t="shared" si="5"/>
        <v>-113535000</v>
      </c>
      <c r="AQ53" s="59"/>
    </row>
    <row r="54" spans="1:63" ht="18" customHeight="1">
      <c r="A54" s="6" t="s">
        <v>494</v>
      </c>
      <c r="B54" s="60">
        <v>45411</v>
      </c>
      <c r="C54" s="6" t="s">
        <v>124</v>
      </c>
      <c r="D54" s="30">
        <v>7</v>
      </c>
      <c r="E54" s="6" t="s">
        <v>124</v>
      </c>
      <c r="F54" s="5" t="s">
        <v>238</v>
      </c>
      <c r="G54" s="6" t="str">
        <f t="shared" si="6"/>
        <v>SEGU9712999</v>
      </c>
      <c r="H54" s="6" t="str">
        <f>IFERROR(VLOOKUP(C54,DATA!$A$11:$L$40,3,FALSE),"")</f>
        <v>FRESH DURIAN</v>
      </c>
      <c r="I54" s="98" t="s">
        <v>495</v>
      </c>
      <c r="J54" s="7" t="s">
        <v>496</v>
      </c>
      <c r="K54" s="7" t="s">
        <v>497</v>
      </c>
      <c r="L54" s="62" t="s">
        <v>494</v>
      </c>
      <c r="M54" s="37">
        <v>5.0599999999999996</v>
      </c>
      <c r="N54" s="37">
        <v>3.65</v>
      </c>
      <c r="O54" s="28">
        <v>18.5</v>
      </c>
      <c r="P54" s="28">
        <v>16</v>
      </c>
      <c r="Q54" s="29">
        <v>1020</v>
      </c>
      <c r="R54" s="6" t="str">
        <f>IFERROR(VLOOKUP(C54,DATA!$A$11:$L$40,9,FALSE),"")</f>
        <v>CARTONS</v>
      </c>
      <c r="S54" s="30">
        <f>IFERROR(VLOOKUP(C54,DATA!$A$11:$L$40,10,FALSE),"")</f>
        <v>13</v>
      </c>
      <c r="T54" s="63" t="str">
        <f>IFERROR(VLOOKUP(C54,DATA!$A$11:$L$40,11,FALSE),"")</f>
        <v>30%</v>
      </c>
      <c r="U54" s="32" t="s">
        <v>137</v>
      </c>
      <c r="V54" s="6" t="s">
        <v>190</v>
      </c>
      <c r="W54" s="5" t="s">
        <v>490</v>
      </c>
      <c r="X54" s="6" t="s">
        <v>192</v>
      </c>
      <c r="Y54" s="6" t="s">
        <v>491</v>
      </c>
      <c r="Z54" s="60">
        <v>45411</v>
      </c>
      <c r="AA54" s="60" t="s">
        <v>492</v>
      </c>
      <c r="AB54" s="64">
        <v>45417</v>
      </c>
      <c r="AC54" s="64">
        <v>45422</v>
      </c>
      <c r="AD54" s="6" t="s">
        <v>13</v>
      </c>
      <c r="AE54" s="95" t="s">
        <v>493</v>
      </c>
      <c r="AF54" s="65" t="s">
        <v>201</v>
      </c>
      <c r="AG54" s="65" t="s">
        <v>498</v>
      </c>
      <c r="AH54" s="65" t="s">
        <v>499</v>
      </c>
      <c r="AI54" s="65" t="s">
        <v>500</v>
      </c>
      <c r="AJ54" s="65" t="s">
        <v>197</v>
      </c>
      <c r="AK54" s="66">
        <v>45411</v>
      </c>
      <c r="AL54" s="66">
        <v>45414</v>
      </c>
      <c r="AM54" s="66"/>
      <c r="AN54" s="68"/>
      <c r="AO54" s="67">
        <f t="shared" si="4"/>
        <v>-113535000</v>
      </c>
      <c r="AP54" s="67">
        <f t="shared" si="5"/>
        <v>-113535000</v>
      </c>
      <c r="AQ54" s="59"/>
    </row>
    <row r="55" spans="1:63" ht="18" customHeight="1">
      <c r="A55" s="6" t="s">
        <v>501</v>
      </c>
      <c r="B55" s="60">
        <v>45411</v>
      </c>
      <c r="C55" s="6" t="s">
        <v>124</v>
      </c>
      <c r="D55" s="30">
        <v>8</v>
      </c>
      <c r="E55" s="6" t="s">
        <v>124</v>
      </c>
      <c r="F55" s="5" t="s">
        <v>238</v>
      </c>
      <c r="G55" s="6" t="str">
        <f t="shared" si="6"/>
        <v>OOLU6523264</v>
      </c>
      <c r="H55" s="6" t="str">
        <f>IFERROR(VLOOKUP(C55,DATA!$A$11:$L$40,3,FALSE),"")</f>
        <v>FRESH DURIAN</v>
      </c>
      <c r="I55" s="98" t="s">
        <v>502</v>
      </c>
      <c r="J55" s="7" t="s">
        <v>503</v>
      </c>
      <c r="K55" s="7" t="s">
        <v>504</v>
      </c>
      <c r="L55" s="62" t="s">
        <v>501</v>
      </c>
      <c r="M55" s="37">
        <v>5.0599999999999996</v>
      </c>
      <c r="N55" s="37">
        <v>3.65</v>
      </c>
      <c r="O55" s="28">
        <v>18.5</v>
      </c>
      <c r="P55" s="28">
        <v>16</v>
      </c>
      <c r="Q55" s="101">
        <f>IFERROR(VLOOKUP(C55,DATA!$A$11:$L$40,8,FALSE),"")</f>
        <v>960</v>
      </c>
      <c r="R55" s="6" t="str">
        <f>IFERROR(VLOOKUP(C55,DATA!$A$11:$L$40,9,FALSE),"")</f>
        <v>CARTONS</v>
      </c>
      <c r="S55" s="30">
        <f>IFERROR(VLOOKUP(C55,DATA!$A$11:$L$40,10,FALSE),"")</f>
        <v>13</v>
      </c>
      <c r="T55" s="63" t="str">
        <f>IFERROR(VLOOKUP(C55,DATA!$A$11:$L$40,11,FALSE),"")</f>
        <v>30%</v>
      </c>
      <c r="U55" s="32" t="s">
        <v>137</v>
      </c>
      <c r="V55" s="6" t="s">
        <v>190</v>
      </c>
      <c r="W55" s="5" t="s">
        <v>490</v>
      </c>
      <c r="X55" s="6" t="s">
        <v>192</v>
      </c>
      <c r="Y55" s="6" t="s">
        <v>491</v>
      </c>
      <c r="Z55" s="60">
        <v>45411</v>
      </c>
      <c r="AA55" s="60" t="s">
        <v>492</v>
      </c>
      <c r="AB55" s="64">
        <v>45417</v>
      </c>
      <c r="AC55" s="64">
        <v>45422</v>
      </c>
      <c r="AD55" s="6" t="s">
        <v>13</v>
      </c>
      <c r="AE55" s="95" t="s">
        <v>493</v>
      </c>
      <c r="AF55" s="65" t="s">
        <v>201</v>
      </c>
      <c r="AG55" s="65" t="s">
        <v>326</v>
      </c>
      <c r="AH55" s="65" t="s">
        <v>499</v>
      </c>
      <c r="AI55" s="65" t="s">
        <v>505</v>
      </c>
      <c r="AJ55" s="65" t="s">
        <v>197</v>
      </c>
      <c r="AK55" s="66">
        <v>45411</v>
      </c>
      <c r="AL55" s="66">
        <v>45414</v>
      </c>
      <c r="AM55" s="66"/>
      <c r="AN55" s="68"/>
      <c r="AO55" s="67">
        <f t="shared" si="4"/>
        <v>-113535000</v>
      </c>
      <c r="AP55" s="67">
        <f t="shared" si="5"/>
        <v>-113535000</v>
      </c>
      <c r="AQ55" s="59"/>
    </row>
    <row r="56" spans="1:63" ht="18" customHeight="1">
      <c r="A56" s="6" t="s">
        <v>506</v>
      </c>
      <c r="B56" s="60">
        <v>45412</v>
      </c>
      <c r="C56" s="6" t="s">
        <v>128</v>
      </c>
      <c r="D56" s="30">
        <v>6</v>
      </c>
      <c r="E56" s="6" t="s">
        <v>310</v>
      </c>
      <c r="F56" s="6" t="s">
        <v>311</v>
      </c>
      <c r="G56" s="6" t="str">
        <f t="shared" si="6"/>
        <v>SEGU9816843</v>
      </c>
      <c r="H56" s="6" t="str">
        <f>IFERROR(VLOOKUP(C56,DATA!$A$11:$L$40,3,FALSE),"")</f>
        <v>FRESH DURIAN</v>
      </c>
      <c r="I56" s="102" t="s">
        <v>507</v>
      </c>
      <c r="J56" s="7" t="s">
        <v>508</v>
      </c>
      <c r="K56" s="7" t="s">
        <v>509</v>
      </c>
      <c r="L56" s="62" t="s">
        <v>506</v>
      </c>
      <c r="M56" s="37">
        <f>IFERROR(VLOOKUP(C56,DATA!$A$11:$L$40,4,FALSE),"")</f>
        <v>35.5</v>
      </c>
      <c r="N56" s="28">
        <f>IFERROR(VLOOKUP(C56,DATA!$A$11:$L$40,5,FALSE),"")</f>
        <v>33.5</v>
      </c>
      <c r="O56" s="28">
        <f>IFERROR(VLOOKUP(C56,DATA!$A$11:$L$40,6,FALSE),"")</f>
        <v>19</v>
      </c>
      <c r="P56" s="28">
        <v>16</v>
      </c>
      <c r="Q56" s="29">
        <f>IFERROR(VLOOKUP(C56,DATA!$A$11:$L$40,8,FALSE),"")</f>
        <v>960</v>
      </c>
      <c r="R56" s="6" t="str">
        <f>IFERROR(VLOOKUP(C56,DATA!$A$11:$L$40,9,FALSE),"")</f>
        <v>CARTONS</v>
      </c>
      <c r="S56" s="30">
        <f>IFERROR(VLOOKUP(C56,DATA!$A$11:$L$40,10,FALSE),"")</f>
        <v>11</v>
      </c>
      <c r="T56" s="63" t="str">
        <f>IFERROR(VLOOKUP(C56,DATA!$A$11:$L$40,11,FALSE),"")</f>
        <v>25%</v>
      </c>
      <c r="U56" s="32" t="str">
        <f>IFERROR(VLOOKUP(C56,DATA!$A$11:$L$40,12,FALSE),"")</f>
        <v>SAMBA SUPPLY CHAIN (SHANGHAI) CO., LTD</v>
      </c>
      <c r="V56" s="6" t="s">
        <v>190</v>
      </c>
      <c r="W56" s="6" t="s">
        <v>198</v>
      </c>
      <c r="X56" s="6" t="s">
        <v>192</v>
      </c>
      <c r="Y56" s="6" t="s">
        <v>491</v>
      </c>
      <c r="Z56" s="60">
        <v>45412</v>
      </c>
      <c r="AA56" s="60" t="s">
        <v>510</v>
      </c>
      <c r="AB56" s="64">
        <v>45422</v>
      </c>
      <c r="AC56" s="64">
        <v>45427</v>
      </c>
      <c r="AD56" s="6" t="s">
        <v>13</v>
      </c>
      <c r="AE56" s="95" t="s">
        <v>493</v>
      </c>
      <c r="AF56" s="65" t="s">
        <v>252</v>
      </c>
      <c r="AG56" s="65" t="s">
        <v>253</v>
      </c>
      <c r="AH56" s="65" t="s">
        <v>511</v>
      </c>
      <c r="AI56" s="65" t="s">
        <v>255</v>
      </c>
      <c r="AJ56" s="65" t="s">
        <v>197</v>
      </c>
      <c r="AK56" s="66">
        <v>45419</v>
      </c>
      <c r="AL56" s="66">
        <v>45420</v>
      </c>
      <c r="AM56" s="66"/>
      <c r="AN56" s="68"/>
      <c r="AO56" s="67">
        <f t="shared" si="4"/>
        <v>-113537500</v>
      </c>
      <c r="AP56" s="67">
        <f t="shared" si="5"/>
        <v>-113537500</v>
      </c>
      <c r="AQ56" s="59"/>
    </row>
    <row r="57" spans="1:63" ht="18" customHeight="1">
      <c r="A57" s="6" t="s">
        <v>512</v>
      </c>
      <c r="B57" s="60">
        <v>45412</v>
      </c>
      <c r="C57" s="6" t="s">
        <v>128</v>
      </c>
      <c r="D57" s="30">
        <v>7</v>
      </c>
      <c r="E57" s="6" t="s">
        <v>310</v>
      </c>
      <c r="F57" s="6" t="s">
        <v>311</v>
      </c>
      <c r="G57" s="6" t="str">
        <f t="shared" si="6"/>
        <v>OERU4223233</v>
      </c>
      <c r="H57" s="6" t="str">
        <f>IFERROR(VLOOKUP(C57,DATA!$A$11:$L$40,3,FALSE),"")</f>
        <v>FRESH DURIAN</v>
      </c>
      <c r="I57" s="102" t="s">
        <v>513</v>
      </c>
      <c r="J57" s="7" t="s">
        <v>514</v>
      </c>
      <c r="K57" s="7" t="s">
        <v>515</v>
      </c>
      <c r="L57" s="62" t="s">
        <v>512</v>
      </c>
      <c r="M57" s="37">
        <f>IFERROR(VLOOKUP(C57,DATA!$A$11:$L$40,4,FALSE),"")</f>
        <v>35.5</v>
      </c>
      <c r="N57" s="28">
        <f>IFERROR(VLOOKUP(C57,DATA!$A$11:$L$40,5,FALSE),"")</f>
        <v>33.5</v>
      </c>
      <c r="O57" s="28">
        <f>IFERROR(VLOOKUP(C57,DATA!$A$11:$L$40,6,FALSE),"")</f>
        <v>19</v>
      </c>
      <c r="P57" s="28">
        <f>IFERROR(VLOOKUP(C57,DATA!$A$11:$L$40,7,FALSE),"")</f>
        <v>17</v>
      </c>
      <c r="Q57" s="29">
        <f>IFERROR(VLOOKUP(C57,DATA!$A$11:$L$40,8,FALSE),"")</f>
        <v>960</v>
      </c>
      <c r="R57" s="6" t="str">
        <f>IFERROR(VLOOKUP(C57,DATA!$A$11:$L$40,9,FALSE),"")</f>
        <v>CARTONS</v>
      </c>
      <c r="S57" s="30">
        <f>IFERROR(VLOOKUP(C57,DATA!$A$11:$L$40,10,FALSE),"")</f>
        <v>11</v>
      </c>
      <c r="T57" s="63" t="str">
        <f>IFERROR(VLOOKUP(C57,DATA!$A$11:$L$40,11,FALSE),"")</f>
        <v>25%</v>
      </c>
      <c r="U57" s="32" t="str">
        <f>IFERROR(VLOOKUP(C57,DATA!$A$11:$L$40,12,FALSE),"")</f>
        <v>SAMBA SUPPLY CHAIN (SHANGHAI) CO., LTD</v>
      </c>
      <c r="V57" s="6" t="s">
        <v>190</v>
      </c>
      <c r="W57" s="6" t="s">
        <v>198</v>
      </c>
      <c r="X57" s="6" t="s">
        <v>192</v>
      </c>
      <c r="Y57" s="6" t="s">
        <v>491</v>
      </c>
      <c r="Z57" s="60">
        <v>45412</v>
      </c>
      <c r="AA57" s="60" t="s">
        <v>510</v>
      </c>
      <c r="AB57" s="64">
        <v>45422</v>
      </c>
      <c r="AC57" s="64">
        <v>45427</v>
      </c>
      <c r="AD57" s="6" t="s">
        <v>13</v>
      </c>
      <c r="AE57" s="95" t="s">
        <v>493</v>
      </c>
      <c r="AF57" s="65" t="s">
        <v>252</v>
      </c>
      <c r="AG57" s="65" t="s">
        <v>260</v>
      </c>
      <c r="AH57" s="65" t="s">
        <v>516</v>
      </c>
      <c r="AI57" s="65" t="s">
        <v>262</v>
      </c>
      <c r="AJ57" s="65" t="s">
        <v>197</v>
      </c>
      <c r="AK57" s="66">
        <v>45419</v>
      </c>
      <c r="AL57" s="66">
        <v>45420</v>
      </c>
      <c r="AM57" s="66"/>
      <c r="AN57" s="68"/>
      <c r="AO57" s="67">
        <f t="shared" si="4"/>
        <v>-113537500</v>
      </c>
      <c r="AP57" s="67">
        <f t="shared" si="5"/>
        <v>-113537500</v>
      </c>
      <c r="AQ57" s="59"/>
    </row>
    <row r="58" spans="1:63" ht="18" customHeight="1">
      <c r="A58" s="72" t="s">
        <v>517</v>
      </c>
      <c r="B58" s="73">
        <v>45412</v>
      </c>
      <c r="C58" s="72" t="s">
        <v>81</v>
      </c>
      <c r="D58" s="74">
        <v>14</v>
      </c>
      <c r="E58" s="72" t="s">
        <v>130</v>
      </c>
      <c r="F58" s="89" t="s">
        <v>200</v>
      </c>
      <c r="G58" s="72" t="str">
        <f t="shared" si="6"/>
        <v>TTNU8689126</v>
      </c>
      <c r="H58" s="72" t="str">
        <f>IFERROR(VLOOKUP(C58,DATA!$A$11:$L$40,3,FALSE),"")</f>
        <v>FRESH DURIAN</v>
      </c>
      <c r="I58" s="84" t="s">
        <v>518</v>
      </c>
      <c r="J58" s="76" t="s">
        <v>519</v>
      </c>
      <c r="K58" s="76" t="s">
        <v>520</v>
      </c>
      <c r="L58" s="77" t="s">
        <v>517</v>
      </c>
      <c r="M58" s="78" t="str">
        <f>IFERROR(VLOOKUP(C58,DATA!$A$11:$L$40,4,FALSE),"")</f>
        <v>5.00</v>
      </c>
      <c r="N58" s="79">
        <f>IFERROR(VLOOKUP(C58,DATA!$A$11:$L$40,5,FALSE),"")</f>
        <v>4.5999999999999996</v>
      </c>
      <c r="O58" s="79">
        <f>IFERROR(VLOOKUP(C58,DATA!$A$11:$L$40,6,FALSE),"")</f>
        <v>19</v>
      </c>
      <c r="P58" s="79">
        <f>IFERROR(VLOOKUP(C58,DATA!$A$11:$L$40,7,FALSE),"")</f>
        <v>17</v>
      </c>
      <c r="Q58" s="80">
        <f>IFERROR(VLOOKUP(C58,DATA!$A$11:$L$40,8,FALSE),"")</f>
        <v>960</v>
      </c>
      <c r="R58" s="72" t="str">
        <f>IFERROR(VLOOKUP(C58,DATA!$A$11:$L$40,9,FALSE),"")</f>
        <v>CARTONS</v>
      </c>
      <c r="S58" s="74">
        <f>IFERROR(VLOOKUP(C58,DATA!$A$11:$L$40,10,FALSE),"")</f>
        <v>13</v>
      </c>
      <c r="T58" s="81" t="str">
        <f>IFERROR(VLOOKUP(C58,DATA!$A$11:$L$40,11,FALSE),"")</f>
        <v>30%</v>
      </c>
      <c r="U58" s="82" t="str">
        <f>IFERROR(VLOOKUP(C58,DATA!$A$11:$L$40,12,FALSE),"")</f>
        <v>BEIJING JUNYAO INTERNATIONAL</v>
      </c>
      <c r="V58" s="72" t="s">
        <v>190</v>
      </c>
      <c r="W58" s="72" t="s">
        <v>198</v>
      </c>
      <c r="X58" s="72" t="s">
        <v>192</v>
      </c>
      <c r="Y58" s="72" t="s">
        <v>231</v>
      </c>
      <c r="Z58" s="73">
        <v>45412</v>
      </c>
      <c r="AA58" s="73" t="s">
        <v>521</v>
      </c>
      <c r="AB58" s="83">
        <v>45427</v>
      </c>
      <c r="AC58" s="83">
        <v>45432</v>
      </c>
      <c r="AD58" s="72" t="s">
        <v>24</v>
      </c>
      <c r="AE58" s="97" t="s">
        <v>522</v>
      </c>
      <c r="AF58" s="72" t="s">
        <v>230</v>
      </c>
      <c r="AG58" s="72" t="s">
        <v>523</v>
      </c>
      <c r="AH58" s="89" t="s">
        <v>524</v>
      </c>
      <c r="AI58" s="72" t="s">
        <v>525</v>
      </c>
      <c r="AJ58" s="72" t="s">
        <v>197</v>
      </c>
      <c r="AK58" s="73">
        <v>45419</v>
      </c>
      <c r="AL58" s="73"/>
      <c r="AM58" s="73"/>
      <c r="AN58" s="84"/>
      <c r="AO58" s="81">
        <f t="shared" si="4"/>
        <v>-113537500</v>
      </c>
      <c r="AP58" s="81">
        <f t="shared" si="5"/>
        <v>-113537500</v>
      </c>
      <c r="AQ58" s="59"/>
    </row>
    <row r="59" spans="1:63" ht="18" customHeight="1">
      <c r="A59" s="72" t="s">
        <v>526</v>
      </c>
      <c r="B59" s="73">
        <v>45412</v>
      </c>
      <c r="C59" s="72" t="s">
        <v>81</v>
      </c>
      <c r="D59" s="74">
        <v>15</v>
      </c>
      <c r="E59" s="72" t="s">
        <v>130</v>
      </c>
      <c r="F59" s="89" t="s">
        <v>200</v>
      </c>
      <c r="G59" s="72" t="str">
        <f t="shared" si="6"/>
        <v>BMOU9897909</v>
      </c>
      <c r="H59" s="72" t="str">
        <f>IFERROR(VLOOKUP(C59,DATA!$A$11:$L$40,3,FALSE),"")</f>
        <v>FRESH DURIAN</v>
      </c>
      <c r="I59" s="84" t="s">
        <v>527</v>
      </c>
      <c r="J59" s="100" t="s">
        <v>528</v>
      </c>
      <c r="K59" s="76" t="s">
        <v>529</v>
      </c>
      <c r="L59" s="77" t="s">
        <v>526</v>
      </c>
      <c r="M59" s="78" t="str">
        <f>IFERROR(VLOOKUP(C59,DATA!$A$11:$L$40,4,FALSE),"")</f>
        <v>5.00</v>
      </c>
      <c r="N59" s="79">
        <f>IFERROR(VLOOKUP(C59,DATA!$A$11:$L$40,5,FALSE),"")</f>
        <v>4.5999999999999996</v>
      </c>
      <c r="O59" s="79">
        <f>IFERROR(VLOOKUP(C59,DATA!$A$11:$L$40,6,FALSE),"")</f>
        <v>19</v>
      </c>
      <c r="P59" s="79">
        <f>IFERROR(VLOOKUP(C59,DATA!$A$11:$L$40,7,FALSE),"")</f>
        <v>17</v>
      </c>
      <c r="Q59" s="80">
        <f>IFERROR(VLOOKUP(C59,DATA!$A$11:$L$40,8,FALSE),"")</f>
        <v>960</v>
      </c>
      <c r="R59" s="72" t="str">
        <f>IFERROR(VLOOKUP(C59,DATA!$A$11:$L$40,9,FALSE),"")</f>
        <v>CARTONS</v>
      </c>
      <c r="S59" s="74">
        <f>IFERROR(VLOOKUP(C59,DATA!$A$11:$L$40,10,FALSE),"")</f>
        <v>13</v>
      </c>
      <c r="T59" s="81" t="str">
        <f>IFERROR(VLOOKUP(C59,DATA!$A$11:$L$40,11,FALSE),"")</f>
        <v>30%</v>
      </c>
      <c r="U59" s="82" t="str">
        <f>IFERROR(VLOOKUP(C59,DATA!$A$11:$L$40,12,FALSE),"")</f>
        <v>BEIJING JUNYAO INTERNATIONAL</v>
      </c>
      <c r="V59" s="72" t="s">
        <v>190</v>
      </c>
      <c r="W59" s="72" t="s">
        <v>198</v>
      </c>
      <c r="X59" s="72" t="s">
        <v>192</v>
      </c>
      <c r="Y59" s="72" t="s">
        <v>231</v>
      </c>
      <c r="Z59" s="73">
        <v>45412</v>
      </c>
      <c r="AA59" s="73" t="s">
        <v>521</v>
      </c>
      <c r="AB59" s="83">
        <v>45427</v>
      </c>
      <c r="AC59" s="83">
        <v>45432</v>
      </c>
      <c r="AD59" s="72" t="s">
        <v>24</v>
      </c>
      <c r="AE59" s="97" t="s">
        <v>522</v>
      </c>
      <c r="AF59" s="72" t="s">
        <v>201</v>
      </c>
      <c r="AG59" s="72" t="s">
        <v>205</v>
      </c>
      <c r="AH59" s="72" t="s">
        <v>206</v>
      </c>
      <c r="AI59" s="72" t="s">
        <v>473</v>
      </c>
      <c r="AJ59" s="72" t="s">
        <v>197</v>
      </c>
      <c r="AK59" s="73">
        <v>45419</v>
      </c>
      <c r="AL59" s="73"/>
      <c r="AM59" s="73"/>
      <c r="AN59" s="84"/>
      <c r="AO59" s="81">
        <f t="shared" si="4"/>
        <v>-113537500</v>
      </c>
      <c r="AP59" s="81">
        <f t="shared" si="5"/>
        <v>-113537500</v>
      </c>
      <c r="AQ59" s="59"/>
    </row>
    <row r="60" spans="1:63" ht="18" customHeight="1">
      <c r="A60" s="72" t="s">
        <v>530</v>
      </c>
      <c r="B60" s="73">
        <v>45412</v>
      </c>
      <c r="C60" s="72" t="s">
        <v>133</v>
      </c>
      <c r="D60" s="74">
        <v>3</v>
      </c>
      <c r="E60" s="72" t="s">
        <v>124</v>
      </c>
      <c r="F60" s="89" t="s">
        <v>238</v>
      </c>
      <c r="G60" s="72" t="str">
        <f t="shared" si="6"/>
        <v>TTNU8326584</v>
      </c>
      <c r="H60" s="74" t="s">
        <v>134</v>
      </c>
      <c r="I60" s="103" t="s">
        <v>531</v>
      </c>
      <c r="J60" s="104" t="s">
        <v>532</v>
      </c>
      <c r="K60" s="82" t="s">
        <v>533</v>
      </c>
      <c r="L60" s="77" t="s">
        <v>530</v>
      </c>
      <c r="M60" s="78">
        <f>IFERROR(VLOOKUP(C60,DATA!$A$11:$L$40,4,FALSE),"")</f>
        <v>2.16</v>
      </c>
      <c r="N60" s="78">
        <f>IFERROR(VLOOKUP(C60,DATA!$A$11:$L$40,5,FALSE),"")</f>
        <v>1.9</v>
      </c>
      <c r="O60" s="79">
        <f>IFERROR(VLOOKUP(C60,DATA!$A$11:$L$40,6,FALSE),"")</f>
        <v>8</v>
      </c>
      <c r="P60" s="79">
        <f>IFERROR(VLOOKUP(C60,DATA!$A$11:$L$40,7,FALSE),"")</f>
        <v>6</v>
      </c>
      <c r="Q60" s="80">
        <f>IFERROR(VLOOKUP(C60,DATA!$A$11:$L$40,8,FALSE),"")</f>
        <v>2400</v>
      </c>
      <c r="R60" s="72" t="str">
        <f>IFERROR(VLOOKUP(C60,DATA!$A$11:$L$40,9,FALSE),"")</f>
        <v>PLASTIC BASKETS</v>
      </c>
      <c r="S60" s="74">
        <f>IFERROR(VLOOKUP(C60,DATA!$A$11:$L$40,10,FALSE),"")</f>
        <v>13</v>
      </c>
      <c r="T60" s="105" t="s">
        <v>136</v>
      </c>
      <c r="U60" s="82" t="str">
        <f>IFERROR(VLOOKUP(C60,DATA!$A$11:$L$40,12,FALSE),"")</f>
        <v>SICHUAN COMMERCIAL INVESTMENT INVESTMENT CO,LTD</v>
      </c>
      <c r="V60" s="72" t="s">
        <v>190</v>
      </c>
      <c r="W60" s="72" t="s">
        <v>198</v>
      </c>
      <c r="X60" s="72" t="s">
        <v>192</v>
      </c>
      <c r="Y60" s="72" t="s">
        <v>193</v>
      </c>
      <c r="Z60" s="73">
        <v>45412</v>
      </c>
      <c r="AA60" s="73" t="s">
        <v>534</v>
      </c>
      <c r="AB60" s="83">
        <v>45425</v>
      </c>
      <c r="AC60" s="83">
        <v>45430</v>
      </c>
      <c r="AD60" s="72" t="s">
        <v>13</v>
      </c>
      <c r="AE60" s="97" t="s">
        <v>535</v>
      </c>
      <c r="AF60" s="72" t="s">
        <v>201</v>
      </c>
      <c r="AG60" s="72" t="s">
        <v>463</v>
      </c>
      <c r="AH60" s="72" t="s">
        <v>499</v>
      </c>
      <c r="AI60" s="72" t="s">
        <v>536</v>
      </c>
      <c r="AJ60" s="72" t="s">
        <v>197</v>
      </c>
      <c r="AK60" s="73">
        <v>45419</v>
      </c>
      <c r="AL60" s="73"/>
      <c r="AM60" s="73">
        <v>45422</v>
      </c>
      <c r="AN60" s="81"/>
      <c r="AO60" s="81">
        <f t="shared" si="4"/>
        <v>17500</v>
      </c>
      <c r="AP60" s="81">
        <f t="shared" si="5"/>
        <v>17500</v>
      </c>
      <c r="AQ60" s="59"/>
    </row>
    <row r="61" spans="1:63" ht="18" customHeight="1">
      <c r="A61" s="6" t="s">
        <v>537</v>
      </c>
      <c r="B61" s="60">
        <v>45412</v>
      </c>
      <c r="C61" s="6" t="s">
        <v>128</v>
      </c>
      <c r="D61" s="30">
        <v>8</v>
      </c>
      <c r="E61" s="6" t="s">
        <v>310</v>
      </c>
      <c r="F61" s="6" t="s">
        <v>311</v>
      </c>
      <c r="G61" s="6" t="str">
        <f t="shared" si="6"/>
        <v>TTNU8680108</v>
      </c>
      <c r="H61" s="6" t="str">
        <f>IFERROR(VLOOKUP(C61,DATA!$A$11:$L$40,3,FALSE),"")</f>
        <v>FRESH DURIAN</v>
      </c>
      <c r="I61" s="32" t="s">
        <v>538</v>
      </c>
      <c r="J61" s="32" t="s">
        <v>539</v>
      </c>
      <c r="K61" s="32" t="s">
        <v>540</v>
      </c>
      <c r="L61" s="62" t="s">
        <v>537</v>
      </c>
      <c r="M61" s="37">
        <f>IFERROR(VLOOKUP(C61,DATA!$A$11:$L$40,4,FALSE),"")</f>
        <v>35.5</v>
      </c>
      <c r="N61" s="28">
        <f>IFERROR(VLOOKUP(C61,DATA!$A$11:$L$40,5,FALSE),"")</f>
        <v>33.5</v>
      </c>
      <c r="O61" s="28">
        <f>IFERROR(VLOOKUP(C61,DATA!$A$11:$L$40,6,FALSE),"")</f>
        <v>19</v>
      </c>
      <c r="P61" s="28">
        <f>IFERROR(VLOOKUP(C61,DATA!$A$11:$L$40,7,FALSE),"")</f>
        <v>17</v>
      </c>
      <c r="Q61" s="29">
        <f>IFERROR(VLOOKUP(C61,DATA!$A$11:$L$40,8,FALSE),"")</f>
        <v>960</v>
      </c>
      <c r="R61" s="6" t="str">
        <f>IFERROR(VLOOKUP(C61,DATA!$A$11:$L$40,9,FALSE),"")</f>
        <v>CARTONS</v>
      </c>
      <c r="S61" s="30">
        <f>IFERROR(VLOOKUP(C61,DATA!$A$11:$L$40,10,FALSE),"")</f>
        <v>11</v>
      </c>
      <c r="T61" s="63" t="str">
        <f>IFERROR(VLOOKUP(C61,DATA!$A$11:$L$40,11,FALSE),"")</f>
        <v>25%</v>
      </c>
      <c r="U61" s="32" t="str">
        <f>IFERROR(VLOOKUP(C61,DATA!$A$11:$L$40,12,FALSE),"")</f>
        <v>SAMBA SUPPLY CHAIN (SHANGHAI) CO., LTD</v>
      </c>
      <c r="V61" s="6" t="s">
        <v>190</v>
      </c>
      <c r="W61" s="6" t="s">
        <v>198</v>
      </c>
      <c r="X61" s="6" t="s">
        <v>192</v>
      </c>
      <c r="Y61" s="6" t="s">
        <v>231</v>
      </c>
      <c r="Z61" s="60">
        <v>45412</v>
      </c>
      <c r="AA61" s="60" t="s">
        <v>541</v>
      </c>
      <c r="AB61" s="64">
        <v>45422</v>
      </c>
      <c r="AC61" s="64">
        <v>45427</v>
      </c>
      <c r="AD61" s="6" t="s">
        <v>24</v>
      </c>
      <c r="AE61" s="95" t="s">
        <v>522</v>
      </c>
      <c r="AF61" s="65" t="s">
        <v>356</v>
      </c>
      <c r="AG61" s="106" t="s">
        <v>542</v>
      </c>
      <c r="AH61" s="106" t="s">
        <v>543</v>
      </c>
      <c r="AI61" s="106" t="s">
        <v>544</v>
      </c>
      <c r="AJ61" s="65" t="s">
        <v>197</v>
      </c>
      <c r="AK61" s="66">
        <v>45419</v>
      </c>
      <c r="AL61" s="107">
        <v>45420</v>
      </c>
      <c r="AM61" s="107"/>
      <c r="AN61" s="108"/>
      <c r="AO61" s="108">
        <f t="shared" si="4"/>
        <v>-113537500</v>
      </c>
      <c r="AP61" s="108">
        <f t="shared" si="5"/>
        <v>-113537500</v>
      </c>
      <c r="AQ61" s="59"/>
    </row>
    <row r="62" spans="1:63" ht="18" customHeight="1">
      <c r="A62" s="72" t="s">
        <v>545</v>
      </c>
      <c r="B62" s="73">
        <v>45412</v>
      </c>
      <c r="C62" s="72" t="s">
        <v>133</v>
      </c>
      <c r="D62" s="74">
        <v>4</v>
      </c>
      <c r="E62" s="72" t="s">
        <v>124</v>
      </c>
      <c r="F62" s="89" t="s">
        <v>238</v>
      </c>
      <c r="G62" s="72" t="str">
        <f t="shared" si="6"/>
        <v>SEGU9166901</v>
      </c>
      <c r="H62" s="74" t="s">
        <v>134</v>
      </c>
      <c r="I62" s="82" t="s">
        <v>546</v>
      </c>
      <c r="J62" s="82" t="s">
        <v>547</v>
      </c>
      <c r="K62" s="82" t="s">
        <v>548</v>
      </c>
      <c r="L62" s="77" t="s">
        <v>545</v>
      </c>
      <c r="M62" s="78">
        <f>IFERROR(VLOOKUP(C62,DATA!$A$11:$L$40,4,FALSE),"")</f>
        <v>2.16</v>
      </c>
      <c r="N62" s="78">
        <f>IFERROR(VLOOKUP(C62,DATA!$A$11:$L$40,5,FALSE),"")</f>
        <v>1.9</v>
      </c>
      <c r="O62" s="79">
        <f>IFERROR(VLOOKUP(C62,DATA!$A$11:$L$40,6,FALSE),"")</f>
        <v>8</v>
      </c>
      <c r="P62" s="79">
        <f>IFERROR(VLOOKUP(C62,DATA!$A$11:$L$40,7,FALSE),"")</f>
        <v>6</v>
      </c>
      <c r="Q62" s="80">
        <f>IFERROR(VLOOKUP(C62,DATA!$A$11:$L$40,8,FALSE),"")</f>
        <v>2400</v>
      </c>
      <c r="R62" s="72" t="str">
        <f>IFERROR(VLOOKUP(C62,DATA!$A$11:$L$40,9,FALSE),"")</f>
        <v>PLASTIC BASKETS</v>
      </c>
      <c r="S62" s="74">
        <f>IFERROR(VLOOKUP(C62,DATA!$A$11:$L$40,10,FALSE),"")</f>
        <v>13</v>
      </c>
      <c r="T62" s="105" t="s">
        <v>136</v>
      </c>
      <c r="U62" s="82" t="str">
        <f>IFERROR(VLOOKUP(C62,DATA!$A$11:$L$40,12,FALSE),"")</f>
        <v>SICHUAN COMMERCIAL INVESTMENT INVESTMENT CO,LTD</v>
      </c>
      <c r="V62" s="72" t="s">
        <v>190</v>
      </c>
      <c r="W62" s="72" t="s">
        <v>198</v>
      </c>
      <c r="X62" s="72" t="s">
        <v>192</v>
      </c>
      <c r="Y62" s="72" t="s">
        <v>193</v>
      </c>
      <c r="Z62" s="73">
        <v>45412</v>
      </c>
      <c r="AA62" s="73" t="s">
        <v>534</v>
      </c>
      <c r="AB62" s="83">
        <v>45425</v>
      </c>
      <c r="AC62" s="83">
        <v>45430</v>
      </c>
      <c r="AD62" s="72" t="s">
        <v>13</v>
      </c>
      <c r="AE62" s="97" t="s">
        <v>535</v>
      </c>
      <c r="AF62" s="72" t="s">
        <v>201</v>
      </c>
      <c r="AG62" s="72" t="s">
        <v>326</v>
      </c>
      <c r="AH62" s="72" t="s">
        <v>499</v>
      </c>
      <c r="AI62" s="72" t="s">
        <v>505</v>
      </c>
      <c r="AJ62" s="72" t="s">
        <v>197</v>
      </c>
      <c r="AK62" s="73">
        <v>45419</v>
      </c>
      <c r="AL62" s="73"/>
      <c r="AM62" s="73">
        <v>45422</v>
      </c>
      <c r="AN62" s="81"/>
      <c r="AO62" s="81"/>
      <c r="AP62" s="81">
        <f t="shared" si="5"/>
        <v>0</v>
      </c>
      <c r="AQ62" s="59"/>
    </row>
    <row r="63" spans="1:63" ht="18" customHeight="1">
      <c r="A63" s="6" t="s">
        <v>549</v>
      </c>
      <c r="B63" s="60">
        <v>45412</v>
      </c>
      <c r="C63" s="6" t="s">
        <v>96</v>
      </c>
      <c r="D63" s="30">
        <v>11</v>
      </c>
      <c r="E63" s="6" t="s">
        <v>226</v>
      </c>
      <c r="F63" s="5" t="s">
        <v>227</v>
      </c>
      <c r="G63" s="6" t="str">
        <f t="shared" si="6"/>
        <v>CGMU5537741</v>
      </c>
      <c r="H63" s="6" t="str">
        <f>IFERROR(VLOOKUP(C63,DATA!$A$11:$L$40,3,FALSE),"")</f>
        <v>FRESH DURIAN</v>
      </c>
      <c r="I63" s="32" t="s">
        <v>550</v>
      </c>
      <c r="J63" s="32" t="s">
        <v>551</v>
      </c>
      <c r="K63" s="32" t="s">
        <v>552</v>
      </c>
      <c r="L63" s="62" t="s">
        <v>549</v>
      </c>
      <c r="M63" s="37" t="str">
        <f>IFERROR(VLOOKUP(C63,DATA!$A$11:$L$40,4,FALSE),"")</f>
        <v>5.00</v>
      </c>
      <c r="N63" s="28">
        <f>IFERROR(VLOOKUP(C63,DATA!$A$11:$L$40,5,FALSE),"")</f>
        <v>4.5999999999999996</v>
      </c>
      <c r="O63" s="28">
        <f>IFERROR(VLOOKUP(C63,DATA!$A$11:$L$40,6,FALSE),"")</f>
        <v>20</v>
      </c>
      <c r="P63" s="28">
        <f>IFERROR(VLOOKUP(C63,DATA!$A$11:$L$40,7,FALSE),"")</f>
        <v>18</v>
      </c>
      <c r="Q63" s="29">
        <f>IFERROR(VLOOKUP(C63,DATA!$A$11:$L$40,8,FALSE),"")</f>
        <v>960</v>
      </c>
      <c r="R63" s="6" t="str">
        <f>IFERROR(VLOOKUP(C63,DATA!$A$11:$L$40,9,FALSE),"")</f>
        <v>CARTONS</v>
      </c>
      <c r="S63" s="30">
        <f>IFERROR(VLOOKUP(C63,DATA!$A$11:$L$40,10,FALSE),"")</f>
        <v>14</v>
      </c>
      <c r="T63" s="63" t="str">
        <f>IFERROR(VLOOKUP(C63,DATA!$A$11:$L$40,11,FALSE),"")</f>
        <v>35%</v>
      </c>
      <c r="U63" s="32" t="str">
        <f>IFERROR(VLOOKUP(C63,DATA!$A$11:$L$40,12,FALSE),"")</f>
        <v>BEIJING JUNYAO INTERNATIONAL</v>
      </c>
      <c r="V63" s="6" t="s">
        <v>190</v>
      </c>
      <c r="W63" s="6" t="s">
        <v>198</v>
      </c>
      <c r="X63" s="6" t="s">
        <v>192</v>
      </c>
      <c r="Y63" s="6" t="s">
        <v>231</v>
      </c>
      <c r="Z63" s="60">
        <v>45412</v>
      </c>
      <c r="AA63" s="60" t="s">
        <v>553</v>
      </c>
      <c r="AB63" s="64">
        <v>45422</v>
      </c>
      <c r="AC63" s="64">
        <v>45427</v>
      </c>
      <c r="AD63" s="6" t="s">
        <v>24</v>
      </c>
      <c r="AE63" s="95" t="s">
        <v>522</v>
      </c>
      <c r="AF63" s="65" t="s">
        <v>356</v>
      </c>
      <c r="AG63" s="65" t="s">
        <v>554</v>
      </c>
      <c r="AH63" s="65" t="s">
        <v>555</v>
      </c>
      <c r="AI63" s="65" t="s">
        <v>556</v>
      </c>
      <c r="AJ63" s="65" t="s">
        <v>197</v>
      </c>
      <c r="AK63" s="66">
        <v>45419</v>
      </c>
      <c r="AL63" s="66">
        <v>45420</v>
      </c>
      <c r="AM63" s="66">
        <v>45421</v>
      </c>
      <c r="AN63" s="67"/>
      <c r="AO63" s="67"/>
      <c r="AP63" s="67">
        <f t="shared" si="5"/>
        <v>0</v>
      </c>
      <c r="AQ63" s="59"/>
    </row>
    <row r="64" spans="1:63" ht="18" customHeight="1">
      <c r="A64" s="72" t="s">
        <v>557</v>
      </c>
      <c r="B64" s="73">
        <v>45414</v>
      </c>
      <c r="C64" s="72" t="s">
        <v>279</v>
      </c>
      <c r="D64" s="74">
        <v>12</v>
      </c>
      <c r="E64" s="72" t="s">
        <v>226</v>
      </c>
      <c r="F64" s="89" t="s">
        <v>227</v>
      </c>
      <c r="G64" s="72" t="str">
        <f t="shared" si="6"/>
        <v>SEKU9089610</v>
      </c>
      <c r="H64" s="72" t="s">
        <v>17</v>
      </c>
      <c r="I64" s="100" t="s">
        <v>280</v>
      </c>
      <c r="J64" s="100" t="s">
        <v>281</v>
      </c>
      <c r="K64" s="82" t="s">
        <v>282</v>
      </c>
      <c r="L64" s="77" t="s">
        <v>557</v>
      </c>
      <c r="M64" s="78" t="str">
        <f>IFERROR(VLOOKUP(C64,DATA!$A$11:$L$40,4,FALSE),"")</f>
        <v/>
      </c>
      <c r="N64" s="79" t="str">
        <f>IFERROR(VLOOKUP(C64,DATA!$A$11:$L$40,5,FALSE),"")</f>
        <v/>
      </c>
      <c r="O64" s="79" t="str">
        <f>IFERROR(VLOOKUP(C64,DATA!$A$11:$L$40,6,FALSE),"")</f>
        <v/>
      </c>
      <c r="P64" s="79" t="str">
        <f>IFERROR(VLOOKUP(C64,DATA!$A$11:$L$40,7,FALSE),"")</f>
        <v/>
      </c>
      <c r="Q64" s="80" t="str">
        <f>IFERROR(VLOOKUP(C64,DATA!$A$11:$L$40,8,FALSE),"")</f>
        <v/>
      </c>
      <c r="R64" s="72" t="str">
        <f>IFERROR(VLOOKUP(C64,DATA!$A$11:$L$40,9,FALSE),"")</f>
        <v/>
      </c>
      <c r="S64" s="74" t="str">
        <f>IFERROR(VLOOKUP(C64,DATA!$A$11:$L$40,10,FALSE),"")</f>
        <v/>
      </c>
      <c r="T64" s="81" t="str">
        <f>IFERROR(VLOOKUP(C64,DATA!$A$11:$L$40,11,FALSE),"")</f>
        <v/>
      </c>
      <c r="U64" s="82" t="str">
        <f>IFERROR(VLOOKUP(C64,DATA!$A$11:$L$40,12,FALSE),"")</f>
        <v/>
      </c>
      <c r="V64" s="72" t="s">
        <v>190</v>
      </c>
      <c r="W64" s="72" t="s">
        <v>211</v>
      </c>
      <c r="X64" s="72" t="s">
        <v>192</v>
      </c>
      <c r="Y64" s="72" t="s">
        <v>212</v>
      </c>
      <c r="Z64" s="73">
        <v>45414</v>
      </c>
      <c r="AA64" s="73" t="s">
        <v>458</v>
      </c>
      <c r="AB64" s="83">
        <v>45417</v>
      </c>
      <c r="AC64" s="83">
        <v>45422</v>
      </c>
      <c r="AD64" s="72" t="s">
        <v>24</v>
      </c>
      <c r="AE64" s="97" t="s">
        <v>284</v>
      </c>
      <c r="AF64" s="72" t="s">
        <v>201</v>
      </c>
      <c r="AG64" s="72" t="s">
        <v>205</v>
      </c>
      <c r="AH64" s="72" t="s">
        <v>206</v>
      </c>
      <c r="AI64" s="72" t="s">
        <v>207</v>
      </c>
      <c r="AJ64" s="72" t="s">
        <v>197</v>
      </c>
      <c r="AK64" s="73">
        <v>45414</v>
      </c>
      <c r="AL64" s="73">
        <v>45415</v>
      </c>
      <c r="AM64" s="73"/>
      <c r="AN64" s="81"/>
      <c r="AO64" s="81"/>
      <c r="AP64" s="81">
        <f t="shared" si="5"/>
        <v>0</v>
      </c>
      <c r="AQ64" s="84"/>
      <c r="AR64" s="85"/>
      <c r="AS64" s="542"/>
      <c r="AT64" s="612"/>
      <c r="AU64" s="590"/>
      <c r="AV64" s="590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</row>
    <row r="65" spans="1:43" ht="18" customHeight="1">
      <c r="A65" s="6" t="s">
        <v>558</v>
      </c>
      <c r="B65" s="60">
        <v>45415</v>
      </c>
      <c r="C65" s="6" t="s">
        <v>81</v>
      </c>
      <c r="D65" s="30">
        <v>16</v>
      </c>
      <c r="E65" s="6" t="s">
        <v>130</v>
      </c>
      <c r="F65" s="5" t="s">
        <v>200</v>
      </c>
      <c r="G65" s="6" t="str">
        <f t="shared" si="6"/>
        <v>AMCU9311752</v>
      </c>
      <c r="H65" s="6" t="str">
        <f>IFERROR(VLOOKUP(C65,DATA!$A$11:$L$40,3,FALSE),"")</f>
        <v>FRESH DURIAN</v>
      </c>
      <c r="I65" s="32" t="s">
        <v>559</v>
      </c>
      <c r="J65" s="32" t="s">
        <v>560</v>
      </c>
      <c r="K65" s="32" t="s">
        <v>561</v>
      </c>
      <c r="L65" s="62" t="s">
        <v>558</v>
      </c>
      <c r="M65" s="37" t="str">
        <f>IFERROR(VLOOKUP(C65,DATA!$A$11:$L$40,4,FALSE),"")</f>
        <v>5.00</v>
      </c>
      <c r="N65" s="28">
        <f>IFERROR(VLOOKUP(C65,DATA!$A$11:$L$40,5,FALSE),"")</f>
        <v>4.5999999999999996</v>
      </c>
      <c r="O65" s="28">
        <f>IFERROR(VLOOKUP(C65,DATA!$A$11:$L$40,6,FALSE),"")</f>
        <v>19</v>
      </c>
      <c r="P65" s="28">
        <f>IFERROR(VLOOKUP(C65,DATA!$A$11:$L$40,7,FALSE),"")</f>
        <v>17</v>
      </c>
      <c r="Q65" s="29">
        <f>IFERROR(VLOOKUP(C65,DATA!$A$11:$L$40,8,FALSE),"")</f>
        <v>960</v>
      </c>
      <c r="R65" s="6" t="str">
        <f>IFERROR(VLOOKUP(C65,DATA!$A$11:$L$40,9,FALSE),"")</f>
        <v>CARTONS</v>
      </c>
      <c r="S65" s="30">
        <f>IFERROR(VLOOKUP(C65,DATA!$A$11:$L$40,10,FALSE),"")</f>
        <v>13</v>
      </c>
      <c r="T65" s="63" t="str">
        <f>IFERROR(VLOOKUP(C65,DATA!$A$11:$L$40,11,FALSE),"")</f>
        <v>30%</v>
      </c>
      <c r="U65" s="32" t="str">
        <f>IFERROR(VLOOKUP(C65,DATA!$A$11:$L$40,12,FALSE),"")</f>
        <v>BEIJING JUNYAO INTERNATIONAL</v>
      </c>
      <c r="V65" s="6" t="s">
        <v>190</v>
      </c>
      <c r="W65" s="6" t="s">
        <v>198</v>
      </c>
      <c r="X65" s="6" t="s">
        <v>192</v>
      </c>
      <c r="Y65" s="6" t="s">
        <v>193</v>
      </c>
      <c r="Z65" s="60">
        <v>45415</v>
      </c>
      <c r="AA65" s="60" t="s">
        <v>562</v>
      </c>
      <c r="AB65" s="64">
        <v>45419</v>
      </c>
      <c r="AC65" s="64">
        <v>45424</v>
      </c>
      <c r="AD65" s="6" t="s">
        <v>13</v>
      </c>
      <c r="AE65" s="6" t="s">
        <v>563</v>
      </c>
      <c r="AF65" s="65" t="s">
        <v>201</v>
      </c>
      <c r="AG65" s="65" t="s">
        <v>326</v>
      </c>
      <c r="AH65" s="65" t="s">
        <v>499</v>
      </c>
      <c r="AI65" s="65" t="s">
        <v>505</v>
      </c>
      <c r="AJ65" s="65" t="s">
        <v>197</v>
      </c>
      <c r="AK65" s="66">
        <v>45415</v>
      </c>
      <c r="AL65" s="66">
        <v>45416</v>
      </c>
      <c r="AM65" s="66"/>
      <c r="AN65" s="67"/>
      <c r="AO65" s="67"/>
      <c r="AP65" s="67">
        <f t="shared" si="5"/>
        <v>0</v>
      </c>
      <c r="AQ65" s="59"/>
    </row>
    <row r="66" spans="1:43" ht="18" customHeight="1">
      <c r="A66" s="6" t="s">
        <v>564</v>
      </c>
      <c r="B66" s="60">
        <v>45416</v>
      </c>
      <c r="C66" s="6" t="s">
        <v>81</v>
      </c>
      <c r="D66" s="30">
        <v>17</v>
      </c>
      <c r="E66" s="6" t="s">
        <v>565</v>
      </c>
      <c r="F66" s="5" t="s">
        <v>566</v>
      </c>
      <c r="G66" s="6" t="str">
        <f t="shared" si="6"/>
        <v>FBIU5168016</v>
      </c>
      <c r="H66" s="6" t="str">
        <f>IFERROR(VLOOKUP(C66,DATA!$A$11:$L$40,3,FALSE),"")</f>
        <v>FRESH DURIAN</v>
      </c>
      <c r="I66" s="32" t="s">
        <v>567</v>
      </c>
      <c r="J66" s="32" t="s">
        <v>568</v>
      </c>
      <c r="K66" s="15" t="s">
        <v>569</v>
      </c>
      <c r="L66" s="62" t="s">
        <v>564</v>
      </c>
      <c r="M66" s="37" t="str">
        <f>IFERROR(VLOOKUP(C66,DATA!$A$11:$L$40,4,FALSE),"")</f>
        <v>5.00</v>
      </c>
      <c r="N66" s="28">
        <f>IFERROR(VLOOKUP(C66,DATA!$A$11:$L$40,5,FALSE),"")</f>
        <v>4.5999999999999996</v>
      </c>
      <c r="O66" s="28">
        <f>IFERROR(VLOOKUP(C66,DATA!$A$11:$L$40,6,FALSE),"")</f>
        <v>19</v>
      </c>
      <c r="P66" s="28">
        <f>IFERROR(VLOOKUP(C66,DATA!$A$11:$L$40,7,FALSE),"")</f>
        <v>17</v>
      </c>
      <c r="Q66" s="29">
        <f>IFERROR(VLOOKUP(C66,DATA!$A$11:$L$40,8,FALSE),"")</f>
        <v>960</v>
      </c>
      <c r="R66" s="6" t="str">
        <f>IFERROR(VLOOKUP(C66,DATA!$A$11:$L$40,9,FALSE),"")</f>
        <v>CARTONS</v>
      </c>
      <c r="S66" s="30">
        <f>IFERROR(VLOOKUP(C66,DATA!$A$11:$L$40,10,FALSE),"")</f>
        <v>13</v>
      </c>
      <c r="T66" s="63" t="str">
        <f>IFERROR(VLOOKUP(C66,DATA!$A$11:$L$40,11,FALSE),"")</f>
        <v>30%</v>
      </c>
      <c r="U66" s="32" t="str">
        <f>IFERROR(VLOOKUP(C66,DATA!$A$11:$L$40,12,FALSE),"")</f>
        <v>BEIJING JUNYAO INTERNATIONAL</v>
      </c>
      <c r="V66" s="6" t="s">
        <v>190</v>
      </c>
      <c r="W66" s="6" t="s">
        <v>570</v>
      </c>
      <c r="X66" s="6" t="s">
        <v>192</v>
      </c>
      <c r="Y66" s="6" t="s">
        <v>571</v>
      </c>
      <c r="Z66" s="60">
        <v>45416</v>
      </c>
      <c r="AA66" s="60" t="s">
        <v>562</v>
      </c>
      <c r="AB66" s="64">
        <v>45419</v>
      </c>
      <c r="AC66" s="64">
        <v>45424</v>
      </c>
      <c r="AD66" s="6" t="s">
        <v>24</v>
      </c>
      <c r="AE66" s="6" t="s">
        <v>572</v>
      </c>
      <c r="AF66" s="65" t="s">
        <v>201</v>
      </c>
      <c r="AG66" s="65" t="s">
        <v>205</v>
      </c>
      <c r="AH66" s="65" t="s">
        <v>206</v>
      </c>
      <c r="AI66" s="65" t="s">
        <v>207</v>
      </c>
      <c r="AJ66" s="65" t="s">
        <v>197</v>
      </c>
      <c r="AK66" s="66">
        <v>45416</v>
      </c>
      <c r="AL66" s="66">
        <v>45417</v>
      </c>
      <c r="AM66" s="66"/>
      <c r="AN66" s="67"/>
      <c r="AO66" s="67"/>
      <c r="AP66" s="67">
        <f t="shared" si="5"/>
        <v>0</v>
      </c>
      <c r="AQ66" s="59"/>
    </row>
    <row r="67" spans="1:43" ht="18" customHeight="1">
      <c r="A67" s="6" t="s">
        <v>573</v>
      </c>
      <c r="B67" s="60">
        <v>45416</v>
      </c>
      <c r="C67" s="6" t="s">
        <v>81</v>
      </c>
      <c r="D67" s="30">
        <v>18</v>
      </c>
      <c r="E67" s="6" t="s">
        <v>565</v>
      </c>
      <c r="F67" s="5" t="s">
        <v>566</v>
      </c>
      <c r="G67" s="6" t="str">
        <f t="shared" si="6"/>
        <v>FBIU5168211</v>
      </c>
      <c r="H67" s="6" t="str">
        <f>IFERROR(VLOOKUP(C67,DATA!$A$11:$L$40,3,FALSE),"")</f>
        <v>FRESH DURIAN</v>
      </c>
      <c r="I67" s="32" t="s">
        <v>574</v>
      </c>
      <c r="J67" s="32" t="s">
        <v>575</v>
      </c>
      <c r="K67" s="15" t="s">
        <v>576</v>
      </c>
      <c r="L67" s="62" t="s">
        <v>573</v>
      </c>
      <c r="M67" s="37" t="str">
        <f>IFERROR(VLOOKUP(C67,DATA!$A$11:$L$40,4,FALSE),"")</f>
        <v>5.00</v>
      </c>
      <c r="N67" s="28">
        <f>IFERROR(VLOOKUP(C67,DATA!$A$11:$L$40,5,FALSE),"")</f>
        <v>4.5999999999999996</v>
      </c>
      <c r="O67" s="28">
        <f>IFERROR(VLOOKUP(C67,DATA!$A$11:$L$40,6,FALSE),"")</f>
        <v>19</v>
      </c>
      <c r="P67" s="28">
        <f>IFERROR(VLOOKUP(C67,DATA!$A$11:$L$40,7,FALSE),"")</f>
        <v>17</v>
      </c>
      <c r="Q67" s="29">
        <f>IFERROR(VLOOKUP(C67,DATA!$A$11:$L$40,8,FALSE),"")</f>
        <v>960</v>
      </c>
      <c r="R67" s="6" t="str">
        <f>IFERROR(VLOOKUP(C67,DATA!$A$11:$L$40,9,FALSE),"")</f>
        <v>CARTONS</v>
      </c>
      <c r="S67" s="30">
        <f>IFERROR(VLOOKUP(C67,DATA!$A$11:$L$40,10,FALSE),"")</f>
        <v>13</v>
      </c>
      <c r="T67" s="63" t="str">
        <f>IFERROR(VLOOKUP(C67,DATA!$A$11:$L$40,11,FALSE),"")</f>
        <v>30%</v>
      </c>
      <c r="U67" s="32" t="str">
        <f>IFERROR(VLOOKUP(C67,DATA!$A$11:$L$40,12,FALSE),"")</f>
        <v>BEIJING JUNYAO INTERNATIONAL</v>
      </c>
      <c r="V67" s="6" t="s">
        <v>190</v>
      </c>
      <c r="W67" s="6" t="s">
        <v>570</v>
      </c>
      <c r="X67" s="6" t="s">
        <v>192</v>
      </c>
      <c r="Y67" s="6" t="s">
        <v>571</v>
      </c>
      <c r="Z67" s="60">
        <v>45416</v>
      </c>
      <c r="AA67" s="60" t="s">
        <v>562</v>
      </c>
      <c r="AB67" s="64">
        <v>45419</v>
      </c>
      <c r="AC67" s="64">
        <v>45424</v>
      </c>
      <c r="AD67" s="6" t="s">
        <v>24</v>
      </c>
      <c r="AE67" s="6" t="s">
        <v>572</v>
      </c>
      <c r="AF67" s="65" t="s">
        <v>201</v>
      </c>
      <c r="AG67" s="65" t="s">
        <v>577</v>
      </c>
      <c r="AH67" s="65" t="s">
        <v>203</v>
      </c>
      <c r="AI67" s="65" t="s">
        <v>236</v>
      </c>
      <c r="AJ67" s="65" t="s">
        <v>197</v>
      </c>
      <c r="AK67" s="66">
        <v>45416</v>
      </c>
      <c r="AL67" s="66">
        <v>45417</v>
      </c>
      <c r="AM67" s="66"/>
      <c r="AN67" s="67"/>
      <c r="AO67" s="67"/>
      <c r="AP67" s="67">
        <f t="shared" si="5"/>
        <v>0</v>
      </c>
      <c r="AQ67" s="59"/>
    </row>
    <row r="68" spans="1:43" ht="18" customHeight="1">
      <c r="A68" s="72" t="s">
        <v>578</v>
      </c>
      <c r="B68" s="73">
        <v>45419</v>
      </c>
      <c r="C68" s="72" t="s">
        <v>81</v>
      </c>
      <c r="D68" s="74">
        <v>19</v>
      </c>
      <c r="E68" s="72" t="s">
        <v>130</v>
      </c>
      <c r="F68" s="89" t="s">
        <v>200</v>
      </c>
      <c r="G68" s="72" t="str">
        <f t="shared" si="6"/>
        <v>SEKU9139773</v>
      </c>
      <c r="H68" s="72" t="str">
        <f>IFERROR(VLOOKUP(C68,DATA!$A$11:$L$40,3,FALSE),"")</f>
        <v>FRESH DURIAN</v>
      </c>
      <c r="I68" s="82" t="s">
        <v>579</v>
      </c>
      <c r="J68" s="82" t="s">
        <v>580</v>
      </c>
      <c r="K68" s="82" t="s">
        <v>581</v>
      </c>
      <c r="L68" s="77" t="s">
        <v>578</v>
      </c>
      <c r="M68" s="78" t="str">
        <f>IFERROR(VLOOKUP(C68,DATA!$A$11:$L$40,4,FALSE),"")</f>
        <v>5.00</v>
      </c>
      <c r="N68" s="79">
        <f>IFERROR(VLOOKUP(C68,DATA!$A$11:$L$40,5,FALSE),"")</f>
        <v>4.5999999999999996</v>
      </c>
      <c r="O68" s="79">
        <f>IFERROR(VLOOKUP(C68,DATA!$A$11:$L$40,6,FALSE),"")</f>
        <v>19</v>
      </c>
      <c r="P68" s="79">
        <f>IFERROR(VLOOKUP(C68,DATA!$A$11:$L$40,7,FALSE),"")</f>
        <v>17</v>
      </c>
      <c r="Q68" s="80">
        <f>IFERROR(VLOOKUP(C68,DATA!$A$11:$L$40,8,FALSE),"")</f>
        <v>960</v>
      </c>
      <c r="R68" s="72" t="str">
        <f>IFERROR(VLOOKUP(C68,DATA!$A$11:$L$40,9,FALSE),"")</f>
        <v>CARTONS</v>
      </c>
      <c r="S68" s="74">
        <f>IFERROR(VLOOKUP(C68,DATA!$A$11:$L$40,10,FALSE),"")</f>
        <v>13</v>
      </c>
      <c r="T68" s="81" t="str">
        <f>IFERROR(VLOOKUP(C68,DATA!$A$11:$L$40,11,FALSE),"")</f>
        <v>30%</v>
      </c>
      <c r="U68" s="82" t="str">
        <f>IFERROR(VLOOKUP(C68,DATA!$A$11:$L$40,12,FALSE),"")</f>
        <v>BEIJING JUNYAO INTERNATIONAL</v>
      </c>
      <c r="V68" s="72" t="s">
        <v>190</v>
      </c>
      <c r="W68" s="72" t="s">
        <v>198</v>
      </c>
      <c r="X68" s="72" t="s">
        <v>192</v>
      </c>
      <c r="Y68" s="72" t="s">
        <v>231</v>
      </c>
      <c r="Z68" s="73">
        <v>45414</v>
      </c>
      <c r="AA68" s="73" t="s">
        <v>521</v>
      </c>
      <c r="AB68" s="83">
        <v>45427</v>
      </c>
      <c r="AC68" s="83">
        <v>45432</v>
      </c>
      <c r="AD68" s="72" t="s">
        <v>24</v>
      </c>
      <c r="AE68" s="97" t="s">
        <v>522</v>
      </c>
      <c r="AF68" s="72" t="s">
        <v>356</v>
      </c>
      <c r="AG68" s="89" t="s">
        <v>582</v>
      </c>
      <c r="AH68" s="72" t="s">
        <v>583</v>
      </c>
      <c r="AI68" s="92" t="s">
        <v>584</v>
      </c>
      <c r="AJ68" s="72" t="s">
        <v>197</v>
      </c>
      <c r="AK68" s="73">
        <v>45419</v>
      </c>
      <c r="AL68" s="73"/>
      <c r="AM68" s="73"/>
      <c r="AN68" s="81"/>
      <c r="AO68" s="81"/>
      <c r="AP68" s="81">
        <f t="shared" si="5"/>
        <v>0</v>
      </c>
      <c r="AQ68" s="59"/>
    </row>
    <row r="69" spans="1:43" ht="18" customHeight="1">
      <c r="A69" s="6" t="s">
        <v>585</v>
      </c>
      <c r="B69" s="60">
        <v>45419</v>
      </c>
      <c r="C69" s="6" t="s">
        <v>138</v>
      </c>
      <c r="D69" s="30">
        <v>9</v>
      </c>
      <c r="E69" s="6" t="s">
        <v>586</v>
      </c>
      <c r="F69" s="6" t="s">
        <v>587</v>
      </c>
      <c r="G69" s="6" t="str">
        <f t="shared" si="6"/>
        <v>FBIU5133200</v>
      </c>
      <c r="H69" s="6" t="str">
        <f>IFERROR(VLOOKUP(C69,DATA!$A$11:$L$40,3,FALSE),"")</f>
        <v>FRESH Mangosteen</v>
      </c>
      <c r="I69" s="32" t="s">
        <v>588</v>
      </c>
      <c r="J69" s="32" t="s">
        <v>589</v>
      </c>
      <c r="K69" s="32" t="s">
        <v>590</v>
      </c>
      <c r="L69" s="62" t="s">
        <v>585</v>
      </c>
      <c r="M69" s="37">
        <f>IFERROR(VLOOKUP(C69,DATA!$A$11:$L$40,4,FALSE),"")</f>
        <v>13</v>
      </c>
      <c r="N69" s="28">
        <f>IFERROR(VLOOKUP(C69,DATA!$A$11:$L$40,5,FALSE),"")</f>
        <v>11</v>
      </c>
      <c r="O69" s="28">
        <f>IFERROR(VLOOKUP(C69,DATA!$A$11:$L$40,6,FALSE),"")</f>
        <v>17</v>
      </c>
      <c r="P69" s="28">
        <f>IFERROR(VLOOKUP(C69,DATA!$A$11:$L$40,7,FALSE),"")</f>
        <v>14.5</v>
      </c>
      <c r="Q69" s="29">
        <f>IFERROR(VLOOKUP(C69,DATA!$A$11:$L$40,8,FALSE),"")</f>
        <v>1350</v>
      </c>
      <c r="R69" s="6" t="str">
        <f>IFERROR(VLOOKUP(C69,DATA!$A$11:$L$40,9,FALSE),"")</f>
        <v>PLASTIC BASKETS</v>
      </c>
      <c r="S69" s="30">
        <f>IFERROR(VLOOKUP(C69,DATA!$A$11:$L$40,10,FALSE),"")</f>
        <v>9</v>
      </c>
      <c r="T69" s="63" t="str">
        <f>IFERROR(VLOOKUP(C69,DATA!$A$11:$L$40,11,FALSE),"")</f>
        <v>5%</v>
      </c>
      <c r="U69" s="32" t="str">
        <f>IFERROR(VLOOKUP(C69,DATA!$A$11:$L$40,12,FALSE),"")</f>
        <v>SAMBA SUPPLY CHAIN (SHANGHAI) CO., LTD</v>
      </c>
      <c r="V69" s="6" t="s">
        <v>190</v>
      </c>
      <c r="W69" s="6" t="s">
        <v>198</v>
      </c>
      <c r="X69" s="6" t="s">
        <v>192</v>
      </c>
      <c r="Y69" s="6" t="s">
        <v>231</v>
      </c>
      <c r="Z69" s="60">
        <v>45414</v>
      </c>
      <c r="AA69" s="60" t="s">
        <v>591</v>
      </c>
      <c r="AB69" s="64">
        <v>45436</v>
      </c>
      <c r="AC69" s="64">
        <v>45440</v>
      </c>
      <c r="AD69" s="6" t="s">
        <v>24</v>
      </c>
      <c r="AE69" s="6" t="s">
        <v>592</v>
      </c>
      <c r="AF69" s="65" t="s">
        <v>356</v>
      </c>
      <c r="AG69" s="106" t="s">
        <v>341</v>
      </c>
      <c r="AH69" s="65" t="s">
        <v>342</v>
      </c>
      <c r="AI69" s="109" t="s">
        <v>593</v>
      </c>
      <c r="AJ69" s="65" t="s">
        <v>197</v>
      </c>
      <c r="AK69" s="66">
        <v>45434</v>
      </c>
      <c r="AL69" s="66">
        <v>45435</v>
      </c>
      <c r="AM69" s="60"/>
      <c r="AN69" s="63"/>
      <c r="AO69" s="63">
        <f>((AM69-Z69)-3)*2500</f>
        <v>-113542500</v>
      </c>
      <c r="AP69" s="63">
        <f t="shared" si="5"/>
        <v>-113542500</v>
      </c>
      <c r="AQ69" s="59"/>
    </row>
    <row r="70" spans="1:43" ht="18" customHeight="1">
      <c r="A70" s="6" t="s">
        <v>594</v>
      </c>
      <c r="B70" s="60">
        <v>45419</v>
      </c>
      <c r="C70" s="6" t="s">
        <v>128</v>
      </c>
      <c r="D70" s="30">
        <v>10</v>
      </c>
      <c r="E70" s="6" t="s">
        <v>310</v>
      </c>
      <c r="F70" s="6" t="s">
        <v>311</v>
      </c>
      <c r="G70" s="6" t="str">
        <f t="shared" si="6"/>
        <v>FBIU5137083</v>
      </c>
      <c r="H70" s="6" t="str">
        <f>IFERROR(VLOOKUP(C70,DATA!$A$11:$L$40,3,FALSE),"")</f>
        <v>FRESH DURIAN</v>
      </c>
      <c r="I70" s="32" t="s">
        <v>595</v>
      </c>
      <c r="J70" s="32" t="s">
        <v>596</v>
      </c>
      <c r="K70" s="33" t="s">
        <v>597</v>
      </c>
      <c r="L70" s="62" t="s">
        <v>594</v>
      </c>
      <c r="M70" s="37">
        <f>IFERROR(VLOOKUP(C70,DATA!$A$11:$L$40,4,FALSE),"")</f>
        <v>35.5</v>
      </c>
      <c r="N70" s="28">
        <f>IFERROR(VLOOKUP(C70,DATA!$A$11:$L$40,5,FALSE),"")</f>
        <v>33.5</v>
      </c>
      <c r="O70" s="28">
        <f>IFERROR(VLOOKUP(C70,DATA!$A$11:$L$40,6,FALSE),"")</f>
        <v>19</v>
      </c>
      <c r="P70" s="28">
        <f>IFERROR(VLOOKUP(C70,DATA!$A$11:$L$40,7,FALSE),"")</f>
        <v>17</v>
      </c>
      <c r="Q70" s="29">
        <f>IFERROR(VLOOKUP(C70,DATA!$A$11:$L$40,8,FALSE),"")</f>
        <v>960</v>
      </c>
      <c r="R70" s="6" t="str">
        <f>IFERROR(VLOOKUP(C70,DATA!$A$11:$L$40,9,FALSE),"")</f>
        <v>CARTONS</v>
      </c>
      <c r="S70" s="30">
        <f>IFERROR(VLOOKUP(C70,DATA!$A$11:$L$40,10,FALSE),"")</f>
        <v>11</v>
      </c>
      <c r="T70" s="63" t="str">
        <f>IFERROR(VLOOKUP(C70,DATA!$A$11:$L$40,11,FALSE),"")</f>
        <v>25%</v>
      </c>
      <c r="U70" s="32" t="str">
        <f>IFERROR(VLOOKUP(C70,DATA!$A$11:$L$40,12,FALSE),"")</f>
        <v>SAMBA SUPPLY CHAIN (SHANGHAI) CO., LTD</v>
      </c>
      <c r="V70" s="6" t="s">
        <v>190</v>
      </c>
      <c r="W70" s="6" t="s">
        <v>198</v>
      </c>
      <c r="X70" s="6" t="s">
        <v>192</v>
      </c>
      <c r="Y70" s="6" t="s">
        <v>231</v>
      </c>
      <c r="Z70" s="60">
        <v>45414</v>
      </c>
      <c r="AA70" s="60" t="s">
        <v>598</v>
      </c>
      <c r="AB70" s="64">
        <v>45427</v>
      </c>
      <c r="AC70" s="64">
        <v>45432</v>
      </c>
      <c r="AD70" s="6" t="s">
        <v>24</v>
      </c>
      <c r="AE70" s="95" t="s">
        <v>599</v>
      </c>
      <c r="AF70" s="65" t="s">
        <v>356</v>
      </c>
      <c r="AG70" s="106" t="s">
        <v>600</v>
      </c>
      <c r="AH70" s="65" t="s">
        <v>601</v>
      </c>
      <c r="AI70" s="109" t="s">
        <v>602</v>
      </c>
      <c r="AJ70" s="65" t="s">
        <v>197</v>
      </c>
      <c r="AK70" s="66">
        <v>45426</v>
      </c>
      <c r="AL70" s="66">
        <v>45427</v>
      </c>
      <c r="AM70" s="66"/>
      <c r="AN70" s="67"/>
      <c r="AO70" s="67"/>
      <c r="AP70" s="67">
        <f t="shared" si="5"/>
        <v>0</v>
      </c>
      <c r="AQ70" s="59"/>
    </row>
    <row r="71" spans="1:43" ht="18" customHeight="1">
      <c r="A71" s="6" t="s">
        <v>603</v>
      </c>
      <c r="B71" s="60">
        <v>45419</v>
      </c>
      <c r="C71" s="6" t="s">
        <v>128</v>
      </c>
      <c r="D71" s="30">
        <v>11</v>
      </c>
      <c r="E71" s="6" t="s">
        <v>586</v>
      </c>
      <c r="F71" s="6" t="s">
        <v>587</v>
      </c>
      <c r="G71" s="6" t="str">
        <f t="shared" si="6"/>
        <v>TEMU9866590</v>
      </c>
      <c r="H71" s="6" t="str">
        <f>IFERROR(VLOOKUP(C71,DATA!$A$11:$L$40,3,FALSE),"")</f>
        <v>FRESH DURIAN</v>
      </c>
      <c r="I71" s="32" t="s">
        <v>604</v>
      </c>
      <c r="J71" s="32" t="s">
        <v>605</v>
      </c>
      <c r="K71" s="32" t="s">
        <v>606</v>
      </c>
      <c r="L71" s="62" t="s">
        <v>603</v>
      </c>
      <c r="M71" s="37">
        <f>IFERROR(VLOOKUP(C71,DATA!$A$11:$L$40,4,FALSE),"")</f>
        <v>35.5</v>
      </c>
      <c r="N71" s="28">
        <f>IFERROR(VLOOKUP(C71,DATA!$A$11:$L$40,5,FALSE),"")</f>
        <v>33.5</v>
      </c>
      <c r="O71" s="28">
        <f>IFERROR(VLOOKUP(C71,DATA!$A$11:$L$40,6,FALSE),"")</f>
        <v>19</v>
      </c>
      <c r="P71" s="28">
        <f>IFERROR(VLOOKUP(C71,DATA!$A$11:$L$40,7,FALSE),"")</f>
        <v>17</v>
      </c>
      <c r="Q71" s="29">
        <f>IFERROR(VLOOKUP(C71,DATA!$A$11:$L$40,8,FALSE),"")</f>
        <v>960</v>
      </c>
      <c r="R71" s="6" t="str">
        <f>IFERROR(VLOOKUP(C71,DATA!$A$11:$L$40,9,FALSE),"")</f>
        <v>CARTONS</v>
      </c>
      <c r="S71" s="30">
        <f>IFERROR(VLOOKUP(C71,DATA!$A$11:$L$40,10,FALSE),"")</f>
        <v>11</v>
      </c>
      <c r="T71" s="63" t="str">
        <f>IFERROR(VLOOKUP(C71,DATA!$A$11:$L$40,11,FALSE),"")</f>
        <v>25%</v>
      </c>
      <c r="U71" s="32" t="str">
        <f>IFERROR(VLOOKUP(C71,DATA!$A$11:$L$40,12,FALSE),"")</f>
        <v>SAMBA SUPPLY CHAIN (SHANGHAI) CO., LTD</v>
      </c>
      <c r="V71" s="6" t="s">
        <v>190</v>
      </c>
      <c r="W71" s="6" t="s">
        <v>198</v>
      </c>
      <c r="X71" s="6" t="s">
        <v>192</v>
      </c>
      <c r="Y71" s="6" t="s">
        <v>231</v>
      </c>
      <c r="Z71" s="60">
        <v>45414</v>
      </c>
      <c r="AA71" s="60" t="s">
        <v>598</v>
      </c>
      <c r="AB71" s="64">
        <v>45427</v>
      </c>
      <c r="AC71" s="64">
        <v>45432</v>
      </c>
      <c r="AD71" s="6" t="s">
        <v>24</v>
      </c>
      <c r="AE71" s="95" t="s">
        <v>599</v>
      </c>
      <c r="AF71" s="65" t="s">
        <v>356</v>
      </c>
      <c r="AG71" s="106" t="s">
        <v>208</v>
      </c>
      <c r="AH71" s="65" t="s">
        <v>209</v>
      </c>
      <c r="AI71" s="109" t="s">
        <v>210</v>
      </c>
      <c r="AJ71" s="65" t="s">
        <v>197</v>
      </c>
      <c r="AK71" s="66">
        <v>45426</v>
      </c>
      <c r="AL71" s="66">
        <v>45427</v>
      </c>
      <c r="AM71" s="66"/>
      <c r="AN71" s="67"/>
      <c r="AO71" s="67"/>
      <c r="AP71" s="67">
        <f t="shared" si="5"/>
        <v>0</v>
      </c>
      <c r="AQ71" s="59"/>
    </row>
    <row r="72" spans="1:43" ht="18" customHeight="1">
      <c r="A72" s="6" t="s">
        <v>607</v>
      </c>
      <c r="B72" s="60">
        <v>45419</v>
      </c>
      <c r="C72" s="6" t="s">
        <v>128</v>
      </c>
      <c r="D72" s="30">
        <v>12</v>
      </c>
      <c r="E72" s="6" t="s">
        <v>608</v>
      </c>
      <c r="F72" s="5" t="s">
        <v>609</v>
      </c>
      <c r="G72" s="6" t="s">
        <v>610</v>
      </c>
      <c r="H72" s="6" t="str">
        <f>IFERROR(VLOOKUP(C72,DATA!$A$11:$L$40,3,FALSE),"")</f>
        <v>FRESH DURIAN</v>
      </c>
      <c r="I72" s="32" t="s">
        <v>611</v>
      </c>
      <c r="J72" s="32" t="s">
        <v>610</v>
      </c>
      <c r="K72" s="32" t="s">
        <v>612</v>
      </c>
      <c r="L72" s="62" t="s">
        <v>607</v>
      </c>
      <c r="M72" s="37">
        <f>IFERROR(VLOOKUP(C72,DATA!$A$11:$L$40,4,FALSE),"")</f>
        <v>35.5</v>
      </c>
      <c r="N72" s="28">
        <f>IFERROR(VLOOKUP(C72,DATA!$A$11:$L$40,5,FALSE),"")</f>
        <v>33.5</v>
      </c>
      <c r="O72" s="28">
        <f>IFERROR(VLOOKUP(C72,DATA!$A$11:$L$40,6,FALSE),"")</f>
        <v>19</v>
      </c>
      <c r="P72" s="28">
        <f>IFERROR(VLOOKUP(C72,DATA!$A$11:$L$40,7,FALSE),"")</f>
        <v>17</v>
      </c>
      <c r="Q72" s="29">
        <f>IFERROR(VLOOKUP(C72,DATA!$A$11:$L$40,8,FALSE),"")</f>
        <v>960</v>
      </c>
      <c r="R72" s="6" t="str">
        <f>IFERROR(VLOOKUP(C72,DATA!$A$11:$L$40,9,FALSE),"")</f>
        <v>CARTONS</v>
      </c>
      <c r="S72" s="30">
        <f>IFERROR(VLOOKUP(C72,DATA!$A$11:$L$40,10,FALSE),"")</f>
        <v>11</v>
      </c>
      <c r="T72" s="63" t="str">
        <f>IFERROR(VLOOKUP(C72,DATA!$A$11:$L$40,11,FALSE),"")</f>
        <v>25%</v>
      </c>
      <c r="U72" s="32" t="str">
        <f>IFERROR(VLOOKUP(C72,DATA!$A$11:$L$40,12,FALSE),"")</f>
        <v>SAMBA SUPPLY CHAIN (SHANGHAI) CO., LTD</v>
      </c>
      <c r="V72" s="6" t="s">
        <v>190</v>
      </c>
      <c r="W72" s="6" t="s">
        <v>211</v>
      </c>
      <c r="X72" s="6" t="s">
        <v>192</v>
      </c>
      <c r="Y72" s="6" t="s">
        <v>212</v>
      </c>
      <c r="Z72" s="60">
        <v>45419</v>
      </c>
      <c r="AA72" s="60" t="s">
        <v>613</v>
      </c>
      <c r="AB72" s="64">
        <v>45424</v>
      </c>
      <c r="AC72" s="64">
        <v>45429</v>
      </c>
      <c r="AD72" s="6" t="s">
        <v>24</v>
      </c>
      <c r="AE72" s="6" t="s">
        <v>614</v>
      </c>
      <c r="AF72" s="65" t="s">
        <v>201</v>
      </c>
      <c r="AG72" s="65" t="s">
        <v>202</v>
      </c>
      <c r="AH72" s="65" t="s">
        <v>203</v>
      </c>
      <c r="AI72" s="65" t="s">
        <v>615</v>
      </c>
      <c r="AJ72" s="65" t="s">
        <v>197</v>
      </c>
      <c r="AK72" s="66">
        <v>45422</v>
      </c>
      <c r="AL72" s="66">
        <v>45423</v>
      </c>
      <c r="AM72" s="66"/>
      <c r="AN72" s="67"/>
      <c r="AO72" s="67"/>
      <c r="AP72" s="67">
        <f t="shared" si="5"/>
        <v>0</v>
      </c>
      <c r="AQ72" s="59"/>
    </row>
    <row r="73" spans="1:43" ht="18" customHeight="1">
      <c r="A73" s="6" t="s">
        <v>616</v>
      </c>
      <c r="B73" s="60">
        <v>45419</v>
      </c>
      <c r="C73" s="6" t="s">
        <v>128</v>
      </c>
      <c r="D73" s="30">
        <v>13</v>
      </c>
      <c r="E73" s="6" t="s">
        <v>608</v>
      </c>
      <c r="F73" s="5" t="s">
        <v>609</v>
      </c>
      <c r="G73" s="6" t="s">
        <v>617</v>
      </c>
      <c r="H73" s="6" t="str">
        <f>IFERROR(VLOOKUP(C73,DATA!$A$11:$L$40,3,FALSE),"")</f>
        <v>FRESH DURIAN</v>
      </c>
      <c r="I73" s="32" t="s">
        <v>618</v>
      </c>
      <c r="J73" s="32" t="s">
        <v>617</v>
      </c>
      <c r="K73" s="32" t="s">
        <v>619</v>
      </c>
      <c r="L73" s="62" t="s">
        <v>616</v>
      </c>
      <c r="M73" s="37">
        <f>IFERROR(VLOOKUP(C73,DATA!$A$11:$L$40,4,FALSE),"")</f>
        <v>35.5</v>
      </c>
      <c r="N73" s="28">
        <f>IFERROR(VLOOKUP(C73,DATA!$A$11:$L$40,5,FALSE),"")</f>
        <v>33.5</v>
      </c>
      <c r="O73" s="28">
        <f>IFERROR(VLOOKUP(C73,DATA!$A$11:$L$40,6,FALSE),"")</f>
        <v>19</v>
      </c>
      <c r="P73" s="28">
        <f>IFERROR(VLOOKUP(C73,DATA!$A$11:$L$40,7,FALSE),"")</f>
        <v>17</v>
      </c>
      <c r="Q73" s="29">
        <f>IFERROR(VLOOKUP(C73,DATA!$A$11:$L$40,8,FALSE),"")</f>
        <v>960</v>
      </c>
      <c r="R73" s="6" t="str">
        <f>IFERROR(VLOOKUP(C73,DATA!$A$11:$L$40,9,FALSE),"")</f>
        <v>CARTONS</v>
      </c>
      <c r="S73" s="30">
        <f>IFERROR(VLOOKUP(C73,DATA!$A$11:$L$40,10,FALSE),"")</f>
        <v>11</v>
      </c>
      <c r="T73" s="63" t="str">
        <f>IFERROR(VLOOKUP(C73,DATA!$A$11:$L$40,11,FALSE),"")</f>
        <v>25%</v>
      </c>
      <c r="U73" s="32" t="str">
        <f>IFERROR(VLOOKUP(C73,DATA!$A$11:$L$40,12,FALSE),"")</f>
        <v>SAMBA SUPPLY CHAIN (SHANGHAI) CO., LTD</v>
      </c>
      <c r="V73" s="6" t="s">
        <v>190</v>
      </c>
      <c r="W73" s="6" t="s">
        <v>211</v>
      </c>
      <c r="X73" s="6" t="s">
        <v>192</v>
      </c>
      <c r="Y73" s="6" t="s">
        <v>212</v>
      </c>
      <c r="Z73" s="60">
        <v>45419</v>
      </c>
      <c r="AA73" s="60" t="s">
        <v>613</v>
      </c>
      <c r="AB73" s="64">
        <v>45424</v>
      </c>
      <c r="AC73" s="64">
        <v>45429</v>
      </c>
      <c r="AD73" s="6" t="s">
        <v>24</v>
      </c>
      <c r="AE73" s="6" t="s">
        <v>614</v>
      </c>
      <c r="AF73" s="65" t="s">
        <v>387</v>
      </c>
      <c r="AG73" s="65" t="s">
        <v>388</v>
      </c>
      <c r="AH73" s="65" t="s">
        <v>389</v>
      </c>
      <c r="AI73" s="65" t="s">
        <v>390</v>
      </c>
      <c r="AJ73" s="65" t="s">
        <v>197</v>
      </c>
      <c r="AK73" s="66">
        <v>45422</v>
      </c>
      <c r="AL73" s="66">
        <v>45424</v>
      </c>
      <c r="AM73" s="66"/>
      <c r="AN73" s="67"/>
      <c r="AO73" s="67"/>
      <c r="AP73" s="67">
        <f t="shared" si="5"/>
        <v>0</v>
      </c>
      <c r="AQ73" s="59"/>
    </row>
    <row r="74" spans="1:43" ht="18" customHeight="1">
      <c r="A74" s="6" t="s">
        <v>620</v>
      </c>
      <c r="B74" s="60">
        <v>45419</v>
      </c>
      <c r="C74" s="6" t="s">
        <v>96</v>
      </c>
      <c r="D74" s="30">
        <v>13</v>
      </c>
      <c r="E74" s="6" t="s">
        <v>226</v>
      </c>
      <c r="F74" s="5" t="s">
        <v>227</v>
      </c>
      <c r="G74" s="6" t="s">
        <v>621</v>
      </c>
      <c r="H74" s="6" t="str">
        <f>IFERROR(VLOOKUP(C74,DATA!$A$11:$L$40,3,FALSE),"")</f>
        <v>FRESH DURIAN</v>
      </c>
      <c r="I74" s="32" t="s">
        <v>622</v>
      </c>
      <c r="J74" s="32" t="s">
        <v>621</v>
      </c>
      <c r="K74" s="32" t="s">
        <v>623</v>
      </c>
      <c r="L74" s="62" t="s">
        <v>620</v>
      </c>
      <c r="M74" s="37" t="str">
        <f>IFERROR(VLOOKUP(C74,DATA!$A$11:$L$40,4,FALSE),"")</f>
        <v>5.00</v>
      </c>
      <c r="N74" s="28">
        <f>IFERROR(VLOOKUP(C74,DATA!$A$11:$L$40,5,FALSE),"")</f>
        <v>4.5999999999999996</v>
      </c>
      <c r="O74" s="28">
        <f>IFERROR(VLOOKUP(C74,DATA!$A$11:$L$40,6,FALSE),"")</f>
        <v>20</v>
      </c>
      <c r="P74" s="28">
        <f>IFERROR(VLOOKUP(C74,DATA!$A$11:$L$40,7,FALSE),"")</f>
        <v>18</v>
      </c>
      <c r="Q74" s="29">
        <f>IFERROR(VLOOKUP(C74,DATA!$A$11:$L$40,8,FALSE),"")</f>
        <v>960</v>
      </c>
      <c r="R74" s="6" t="str">
        <f>IFERROR(VLOOKUP(C74,DATA!$A$11:$L$40,9,FALSE),"")</f>
        <v>CARTONS</v>
      </c>
      <c r="S74" s="30">
        <f>IFERROR(VLOOKUP(C74,DATA!$A$11:$L$40,10,FALSE),"")</f>
        <v>14</v>
      </c>
      <c r="T74" s="63" t="str">
        <f>IFERROR(VLOOKUP(C74,DATA!$A$11:$L$40,11,FALSE),"")</f>
        <v>35%</v>
      </c>
      <c r="U74" s="32" t="str">
        <f>IFERROR(VLOOKUP(C74,DATA!$A$11:$L$40,12,FALSE),"")</f>
        <v>BEIJING JUNYAO INTERNATIONAL</v>
      </c>
      <c r="V74" s="6" t="s">
        <v>190</v>
      </c>
      <c r="W74" s="6" t="s">
        <v>211</v>
      </c>
      <c r="X74" s="6" t="s">
        <v>192</v>
      </c>
      <c r="Y74" s="6" t="s">
        <v>212</v>
      </c>
      <c r="Z74" s="60">
        <v>45419</v>
      </c>
      <c r="AA74" s="60" t="s">
        <v>613</v>
      </c>
      <c r="AB74" s="64">
        <v>45424</v>
      </c>
      <c r="AC74" s="64">
        <v>45429</v>
      </c>
      <c r="AD74" s="6" t="s">
        <v>24</v>
      </c>
      <c r="AE74" s="6" t="s">
        <v>614</v>
      </c>
      <c r="AF74" s="65" t="s">
        <v>387</v>
      </c>
      <c r="AG74" s="65" t="s">
        <v>624</v>
      </c>
      <c r="AH74" s="65" t="s">
        <v>625</v>
      </c>
      <c r="AI74" s="65" t="s">
        <v>626</v>
      </c>
      <c r="AJ74" s="65" t="s">
        <v>197</v>
      </c>
      <c r="AK74" s="66">
        <v>45422</v>
      </c>
      <c r="AL74" s="66">
        <v>45423</v>
      </c>
      <c r="AM74" s="66"/>
      <c r="AN74" s="67"/>
      <c r="AO74" s="67"/>
      <c r="AP74" s="67">
        <f t="shared" si="5"/>
        <v>0</v>
      </c>
      <c r="AQ74" s="59"/>
    </row>
    <row r="75" spans="1:43" ht="18" customHeight="1">
      <c r="A75" s="6" t="s">
        <v>627</v>
      </c>
      <c r="B75" s="60">
        <v>45419</v>
      </c>
      <c r="C75" s="6" t="s">
        <v>96</v>
      </c>
      <c r="D75" s="30">
        <v>14</v>
      </c>
      <c r="E75" s="6" t="s">
        <v>226</v>
      </c>
      <c r="F75" s="5" t="s">
        <v>227</v>
      </c>
      <c r="G75" s="6" t="s">
        <v>628</v>
      </c>
      <c r="H75" s="6" t="str">
        <f>IFERROR(VLOOKUP(C75,DATA!$A$11:$L$40,3,FALSE),"")</f>
        <v>FRESH DURIAN</v>
      </c>
      <c r="I75" s="32" t="s">
        <v>629</v>
      </c>
      <c r="J75" s="32" t="s">
        <v>628</v>
      </c>
      <c r="K75" s="32" t="s">
        <v>630</v>
      </c>
      <c r="L75" s="62" t="s">
        <v>627</v>
      </c>
      <c r="M75" s="37" t="str">
        <f>IFERROR(VLOOKUP(C75,DATA!$A$11:$L$40,4,FALSE),"")</f>
        <v>5.00</v>
      </c>
      <c r="N75" s="28">
        <f>IFERROR(VLOOKUP(C75,DATA!$A$11:$L$40,5,FALSE),"")</f>
        <v>4.5999999999999996</v>
      </c>
      <c r="O75" s="28">
        <f>IFERROR(VLOOKUP(C75,DATA!$A$11:$L$40,6,FALSE),"")</f>
        <v>20</v>
      </c>
      <c r="P75" s="28">
        <f>IFERROR(VLOOKUP(C75,DATA!$A$11:$L$40,7,FALSE),"")</f>
        <v>18</v>
      </c>
      <c r="Q75" s="29">
        <f>IFERROR(VLOOKUP(C75,DATA!$A$11:$L$40,8,FALSE),"")</f>
        <v>960</v>
      </c>
      <c r="R75" s="6" t="str">
        <f>IFERROR(VLOOKUP(C75,DATA!$A$11:$L$40,9,FALSE),"")</f>
        <v>CARTONS</v>
      </c>
      <c r="S75" s="30">
        <f>IFERROR(VLOOKUP(C75,DATA!$A$11:$L$40,10,FALSE),"")</f>
        <v>14</v>
      </c>
      <c r="T75" s="63" t="str">
        <f>IFERROR(VLOOKUP(C75,DATA!$A$11:$L$40,11,FALSE),"")</f>
        <v>35%</v>
      </c>
      <c r="U75" s="32" t="str">
        <f>IFERROR(VLOOKUP(C75,DATA!$A$11:$L$40,12,FALSE),"")</f>
        <v>BEIJING JUNYAO INTERNATIONAL</v>
      </c>
      <c r="V75" s="6" t="s">
        <v>190</v>
      </c>
      <c r="W75" s="6" t="s">
        <v>211</v>
      </c>
      <c r="X75" s="6" t="s">
        <v>192</v>
      </c>
      <c r="Y75" s="6" t="s">
        <v>212</v>
      </c>
      <c r="Z75" s="60">
        <v>45419</v>
      </c>
      <c r="AA75" s="60" t="s">
        <v>613</v>
      </c>
      <c r="AB75" s="64">
        <v>45424</v>
      </c>
      <c r="AC75" s="64">
        <v>45429</v>
      </c>
      <c r="AD75" s="6" t="s">
        <v>24</v>
      </c>
      <c r="AE75" s="6" t="s">
        <v>614</v>
      </c>
      <c r="AF75" s="65" t="s">
        <v>228</v>
      </c>
      <c r="AG75" s="65" t="s">
        <v>631</v>
      </c>
      <c r="AH75" s="65" t="s">
        <v>632</v>
      </c>
      <c r="AI75" s="65" t="s">
        <v>633</v>
      </c>
      <c r="AJ75" s="65" t="s">
        <v>197</v>
      </c>
      <c r="AK75" s="66">
        <v>45422</v>
      </c>
      <c r="AL75" s="66">
        <v>45423</v>
      </c>
      <c r="AM75" s="66"/>
      <c r="AN75" s="67"/>
      <c r="AO75" s="67"/>
      <c r="AP75" s="67">
        <f t="shared" si="5"/>
        <v>0</v>
      </c>
      <c r="AQ75" s="59"/>
    </row>
    <row r="76" spans="1:43" ht="18" customHeight="1">
      <c r="A76" s="6" t="s">
        <v>634</v>
      </c>
      <c r="B76" s="60">
        <v>45419</v>
      </c>
      <c r="C76" s="6" t="s">
        <v>81</v>
      </c>
      <c r="D76" s="30">
        <v>20</v>
      </c>
      <c r="E76" s="6" t="s">
        <v>130</v>
      </c>
      <c r="F76" s="5" t="s">
        <v>200</v>
      </c>
      <c r="G76" s="6" t="s">
        <v>635</v>
      </c>
      <c r="H76" s="6" t="str">
        <f>IFERROR(VLOOKUP(C76,DATA!$A$11:$L$40,3,FALSE),"")</f>
        <v>FRESH DURIAN</v>
      </c>
      <c r="I76" s="32" t="s">
        <v>636</v>
      </c>
      <c r="J76" s="32" t="s">
        <v>635</v>
      </c>
      <c r="K76" s="32" t="s">
        <v>637</v>
      </c>
      <c r="L76" s="62" t="s">
        <v>634</v>
      </c>
      <c r="M76" s="37" t="str">
        <f>IFERROR(VLOOKUP(C76,DATA!$A$11:$L$40,4,FALSE),"")</f>
        <v>5.00</v>
      </c>
      <c r="N76" s="28">
        <f>IFERROR(VLOOKUP(C76,DATA!$A$11:$L$40,5,FALSE),"")</f>
        <v>4.5999999999999996</v>
      </c>
      <c r="O76" s="28">
        <f>IFERROR(VLOOKUP(C76,DATA!$A$11:$L$40,6,FALSE),"")</f>
        <v>19</v>
      </c>
      <c r="P76" s="28">
        <f>IFERROR(VLOOKUP(C76,DATA!$A$11:$L$40,7,FALSE),"")</f>
        <v>17</v>
      </c>
      <c r="Q76" s="29">
        <f>IFERROR(VLOOKUP(C76,DATA!$A$11:$L$40,8,FALSE),"")</f>
        <v>960</v>
      </c>
      <c r="R76" s="6" t="str">
        <f>IFERROR(VLOOKUP(C76,DATA!$A$11:$L$40,9,FALSE),"")</f>
        <v>CARTONS</v>
      </c>
      <c r="S76" s="30">
        <f>IFERROR(VLOOKUP(C76,DATA!$A$11:$L$40,10,FALSE),"")</f>
        <v>13</v>
      </c>
      <c r="T76" s="63" t="str">
        <f>IFERROR(VLOOKUP(C76,DATA!$A$11:$L$40,11,FALSE),"")</f>
        <v>30%</v>
      </c>
      <c r="U76" s="32" t="str">
        <f>IFERROR(VLOOKUP(C76,DATA!$A$11:$L$40,12,FALSE),"")</f>
        <v>BEIJING JUNYAO INTERNATIONAL</v>
      </c>
      <c r="V76" s="6" t="s">
        <v>190</v>
      </c>
      <c r="W76" s="6" t="s">
        <v>211</v>
      </c>
      <c r="X76" s="6" t="s">
        <v>192</v>
      </c>
      <c r="Y76" s="6" t="s">
        <v>212</v>
      </c>
      <c r="Z76" s="60">
        <v>45419</v>
      </c>
      <c r="AA76" s="60" t="s">
        <v>613</v>
      </c>
      <c r="AB76" s="64">
        <v>45424</v>
      </c>
      <c r="AC76" s="64">
        <v>45429</v>
      </c>
      <c r="AD76" s="6" t="s">
        <v>24</v>
      </c>
      <c r="AE76" s="6" t="s">
        <v>614</v>
      </c>
      <c r="AF76" s="65" t="s">
        <v>201</v>
      </c>
      <c r="AG76" s="65" t="s">
        <v>463</v>
      </c>
      <c r="AH76" s="65" t="s">
        <v>499</v>
      </c>
      <c r="AI76" s="65" t="s">
        <v>464</v>
      </c>
      <c r="AJ76" s="65" t="s">
        <v>197</v>
      </c>
      <c r="AK76" s="66">
        <v>45422</v>
      </c>
      <c r="AL76" s="66">
        <v>45423</v>
      </c>
      <c r="AM76" s="66"/>
      <c r="AN76" s="67"/>
      <c r="AO76" s="67"/>
      <c r="AP76" s="67">
        <f t="shared" si="5"/>
        <v>0</v>
      </c>
      <c r="AQ76" s="59"/>
    </row>
    <row r="77" spans="1:43" ht="18" customHeight="1">
      <c r="A77" s="72" t="s">
        <v>638</v>
      </c>
      <c r="B77" s="73">
        <v>45419</v>
      </c>
      <c r="C77" s="72" t="s">
        <v>81</v>
      </c>
      <c r="D77" s="74">
        <v>21</v>
      </c>
      <c r="E77" s="72" t="s">
        <v>130</v>
      </c>
      <c r="F77" s="89" t="s">
        <v>200</v>
      </c>
      <c r="G77" s="72" t="s">
        <v>639</v>
      </c>
      <c r="H77" s="72" t="str">
        <f>IFERROR(VLOOKUP(C77,DATA!$A$11:$L$40,3,FALSE),"")</f>
        <v>FRESH DURIAN</v>
      </c>
      <c r="I77" s="82" t="s">
        <v>640</v>
      </c>
      <c r="J77" s="82" t="s">
        <v>639</v>
      </c>
      <c r="K77" s="82" t="s">
        <v>641</v>
      </c>
      <c r="L77" s="77" t="s">
        <v>638</v>
      </c>
      <c r="M77" s="78" t="str">
        <f>IFERROR(VLOOKUP(C77,DATA!$A$11:$L$40,4,FALSE),"")</f>
        <v>5.00</v>
      </c>
      <c r="N77" s="79">
        <f>IFERROR(VLOOKUP(C77,DATA!$A$11:$L$40,5,FALSE),"")</f>
        <v>4.5999999999999996</v>
      </c>
      <c r="O77" s="79">
        <f>IFERROR(VLOOKUP(C77,DATA!$A$11:$L$40,6,FALSE),"")</f>
        <v>19</v>
      </c>
      <c r="P77" s="79">
        <f>IFERROR(VLOOKUP(C77,DATA!$A$11:$L$40,7,FALSE),"")</f>
        <v>17</v>
      </c>
      <c r="Q77" s="80">
        <f>IFERROR(VLOOKUP(C77,DATA!$A$11:$L$40,8,FALSE),"")</f>
        <v>960</v>
      </c>
      <c r="R77" s="72" t="str">
        <f>IFERROR(VLOOKUP(C77,DATA!$A$11:$L$40,9,FALSE),"")</f>
        <v>CARTONS</v>
      </c>
      <c r="S77" s="74">
        <f>IFERROR(VLOOKUP(C77,DATA!$A$11:$L$40,10,FALSE),"")</f>
        <v>13</v>
      </c>
      <c r="T77" s="81" t="str">
        <f>IFERROR(VLOOKUP(C77,DATA!$A$11:$L$40,11,FALSE),"")</f>
        <v>30%</v>
      </c>
      <c r="U77" s="82" t="str">
        <f>IFERROR(VLOOKUP(C77,DATA!$A$11:$L$40,12,FALSE),"")</f>
        <v>BEIJING JUNYAO INTERNATIONAL</v>
      </c>
      <c r="V77" s="72" t="s">
        <v>190</v>
      </c>
      <c r="W77" s="72" t="s">
        <v>211</v>
      </c>
      <c r="X77" s="72" t="s">
        <v>192</v>
      </c>
      <c r="Y77" s="72" t="s">
        <v>212</v>
      </c>
      <c r="Z77" s="73">
        <v>45419</v>
      </c>
      <c r="AA77" s="73" t="s">
        <v>642</v>
      </c>
      <c r="AB77" s="83">
        <v>45427</v>
      </c>
      <c r="AC77" s="83">
        <v>45432</v>
      </c>
      <c r="AD77" s="72" t="s">
        <v>24</v>
      </c>
      <c r="AE77" s="72"/>
      <c r="AF77" s="72" t="s">
        <v>228</v>
      </c>
      <c r="AG77" s="72" t="s">
        <v>643</v>
      </c>
      <c r="AH77" s="72" t="s">
        <v>229</v>
      </c>
      <c r="AI77" s="72" t="s">
        <v>644</v>
      </c>
      <c r="AJ77" s="72" t="s">
        <v>197</v>
      </c>
      <c r="AK77" s="66">
        <v>45419</v>
      </c>
      <c r="AL77" s="66"/>
      <c r="AM77" s="73"/>
      <c r="AN77" s="81"/>
      <c r="AO77" s="81"/>
      <c r="AP77" s="81">
        <f t="shared" si="5"/>
        <v>0</v>
      </c>
      <c r="AQ77" s="59"/>
    </row>
    <row r="78" spans="1:43" ht="18" customHeight="1">
      <c r="A78" s="6" t="s">
        <v>645</v>
      </c>
      <c r="B78" s="60">
        <v>45419</v>
      </c>
      <c r="C78" s="6" t="s">
        <v>128</v>
      </c>
      <c r="D78" s="30">
        <v>14</v>
      </c>
      <c r="E78" s="6" t="s">
        <v>310</v>
      </c>
      <c r="F78" s="6" t="s">
        <v>311</v>
      </c>
      <c r="G78" s="6" t="s">
        <v>646</v>
      </c>
      <c r="H78" s="6" t="str">
        <f>IFERROR(VLOOKUP(C78,DATA!$A$11:$L$40,3,FALSE),"")</f>
        <v>FRESH DURIAN</v>
      </c>
      <c r="I78" s="32" t="s">
        <v>647</v>
      </c>
      <c r="J78" s="32" t="s">
        <v>648</v>
      </c>
      <c r="K78" s="32" t="s">
        <v>649</v>
      </c>
      <c r="L78" s="62" t="s">
        <v>645</v>
      </c>
      <c r="M78" s="37">
        <f>IFERROR(VLOOKUP(C78,DATA!$A$11:$L$40,4,FALSE),"")</f>
        <v>35.5</v>
      </c>
      <c r="N78" s="28">
        <f>IFERROR(VLOOKUP(C78,DATA!$A$11:$L$40,5,FALSE),"")</f>
        <v>33.5</v>
      </c>
      <c r="O78" s="28">
        <f>IFERROR(VLOOKUP(C78,DATA!$A$11:$L$40,6,FALSE),"")</f>
        <v>19</v>
      </c>
      <c r="P78" s="28">
        <f>IFERROR(VLOOKUP(C78,DATA!$A$11:$L$40,7,FALSE),"")</f>
        <v>17</v>
      </c>
      <c r="Q78" s="29">
        <f>IFERROR(VLOOKUP(C78,DATA!$A$11:$L$40,8,FALSE),"")</f>
        <v>960</v>
      </c>
      <c r="R78" s="6" t="str">
        <f>IFERROR(VLOOKUP(C78,DATA!$A$11:$L$40,9,FALSE),"")</f>
        <v>CARTONS</v>
      </c>
      <c r="S78" s="30">
        <f>IFERROR(VLOOKUP(C78,DATA!$A$11:$L$40,10,FALSE),"")</f>
        <v>11</v>
      </c>
      <c r="T78" s="63" t="str">
        <f>IFERROR(VLOOKUP(C78,DATA!$A$11:$L$40,11,FALSE),"")</f>
        <v>25%</v>
      </c>
      <c r="U78" s="32" t="str">
        <f>IFERROR(VLOOKUP(C78,DATA!$A$11:$L$40,12,FALSE),"")</f>
        <v>SAMBA SUPPLY CHAIN (SHANGHAI) CO., LTD</v>
      </c>
      <c r="V78" s="6" t="s">
        <v>190</v>
      </c>
      <c r="W78" s="6" t="s">
        <v>211</v>
      </c>
      <c r="X78" s="6" t="s">
        <v>192</v>
      </c>
      <c r="Y78" s="6" t="s">
        <v>212</v>
      </c>
      <c r="Z78" s="60">
        <v>45419</v>
      </c>
      <c r="AA78" s="60" t="s">
        <v>613</v>
      </c>
      <c r="AB78" s="64">
        <v>45424</v>
      </c>
      <c r="AC78" s="64">
        <v>45429</v>
      </c>
      <c r="AD78" s="6" t="s">
        <v>24</v>
      </c>
      <c r="AE78" s="6" t="s">
        <v>614</v>
      </c>
      <c r="AF78" s="65" t="s">
        <v>228</v>
      </c>
      <c r="AG78" s="65" t="s">
        <v>285</v>
      </c>
      <c r="AH78" s="65" t="s">
        <v>286</v>
      </c>
      <c r="AI78" s="65" t="s">
        <v>650</v>
      </c>
      <c r="AJ78" s="65" t="s">
        <v>197</v>
      </c>
      <c r="AK78" s="66">
        <v>45422</v>
      </c>
      <c r="AL78" s="66">
        <v>45423</v>
      </c>
      <c r="AM78" s="66"/>
      <c r="AN78" s="67"/>
      <c r="AO78" s="67"/>
      <c r="AP78" s="67">
        <f t="shared" si="5"/>
        <v>0</v>
      </c>
      <c r="AQ78" s="59"/>
    </row>
    <row r="79" spans="1:43" ht="18" customHeight="1">
      <c r="A79" s="6" t="s">
        <v>651</v>
      </c>
      <c r="B79" s="60">
        <v>45419</v>
      </c>
      <c r="C79" s="6" t="s">
        <v>128</v>
      </c>
      <c r="D79" s="30">
        <v>15</v>
      </c>
      <c r="E79" s="6" t="s">
        <v>310</v>
      </c>
      <c r="F79" s="6" t="s">
        <v>311</v>
      </c>
      <c r="G79" s="6" t="s">
        <v>652</v>
      </c>
      <c r="H79" s="6" t="str">
        <f>IFERROR(VLOOKUP(C79,DATA!$A$11:$L$40,3,FALSE),"")</f>
        <v>FRESH DURIAN</v>
      </c>
      <c r="I79" s="32" t="s">
        <v>653</v>
      </c>
      <c r="J79" s="32" t="s">
        <v>652</v>
      </c>
      <c r="K79" s="32" t="s">
        <v>654</v>
      </c>
      <c r="L79" s="62" t="s">
        <v>651</v>
      </c>
      <c r="M79" s="37">
        <f>IFERROR(VLOOKUP(C79,DATA!$A$11:$L$40,4,FALSE),"")</f>
        <v>35.5</v>
      </c>
      <c r="N79" s="28">
        <f>IFERROR(VLOOKUP(C79,DATA!$A$11:$L$40,5,FALSE),"")</f>
        <v>33.5</v>
      </c>
      <c r="O79" s="28">
        <f>IFERROR(VLOOKUP(C79,DATA!$A$11:$L$40,6,FALSE),"")</f>
        <v>19</v>
      </c>
      <c r="P79" s="28">
        <f>IFERROR(VLOOKUP(C79,DATA!$A$11:$L$40,7,FALSE),"")</f>
        <v>17</v>
      </c>
      <c r="Q79" s="29">
        <f>IFERROR(VLOOKUP(C79,DATA!$A$11:$L$40,8,FALSE),"")</f>
        <v>960</v>
      </c>
      <c r="R79" s="6" t="str">
        <f>IFERROR(VLOOKUP(C79,DATA!$A$11:$L$40,9,FALSE),"")</f>
        <v>CARTONS</v>
      </c>
      <c r="S79" s="30">
        <f>IFERROR(VLOOKUP(C79,DATA!$A$11:$L$40,10,FALSE),"")</f>
        <v>11</v>
      </c>
      <c r="T79" s="63" t="str">
        <f>IFERROR(VLOOKUP(C79,DATA!$A$11:$L$40,11,FALSE),"")</f>
        <v>25%</v>
      </c>
      <c r="U79" s="32" t="str">
        <f>IFERROR(VLOOKUP(C79,DATA!$A$11:$L$40,12,FALSE),"")</f>
        <v>SAMBA SUPPLY CHAIN (SHANGHAI) CO., LTD</v>
      </c>
      <c r="V79" s="6" t="s">
        <v>190</v>
      </c>
      <c r="W79" s="6" t="s">
        <v>211</v>
      </c>
      <c r="X79" s="6" t="s">
        <v>192</v>
      </c>
      <c r="Y79" s="6" t="s">
        <v>212</v>
      </c>
      <c r="Z79" s="60">
        <v>45419</v>
      </c>
      <c r="AA79" s="60" t="s">
        <v>613</v>
      </c>
      <c r="AB79" s="64">
        <v>45424</v>
      </c>
      <c r="AC79" s="64">
        <v>45429</v>
      </c>
      <c r="AD79" s="6" t="s">
        <v>24</v>
      </c>
      <c r="AE79" s="6" t="s">
        <v>614</v>
      </c>
      <c r="AF79" s="65" t="s">
        <v>228</v>
      </c>
      <c r="AG79" s="65" t="s">
        <v>301</v>
      </c>
      <c r="AH79" s="65" t="s">
        <v>302</v>
      </c>
      <c r="AI79" s="65" t="s">
        <v>655</v>
      </c>
      <c r="AJ79" s="65" t="s">
        <v>197</v>
      </c>
      <c r="AK79" s="66">
        <v>45422</v>
      </c>
      <c r="AL79" s="66">
        <v>45423</v>
      </c>
      <c r="AM79" s="66"/>
      <c r="AN79" s="67"/>
      <c r="AO79" s="67"/>
      <c r="AP79" s="67">
        <f t="shared" si="5"/>
        <v>0</v>
      </c>
      <c r="AQ79" s="59"/>
    </row>
    <row r="80" spans="1:43" ht="18" customHeight="1">
      <c r="A80" s="72" t="s">
        <v>656</v>
      </c>
      <c r="B80" s="73">
        <v>45419</v>
      </c>
      <c r="C80" s="72" t="s">
        <v>138</v>
      </c>
      <c r="D80" s="74">
        <v>16</v>
      </c>
      <c r="E80" s="72" t="s">
        <v>608</v>
      </c>
      <c r="F80" s="89" t="s">
        <v>609</v>
      </c>
      <c r="G80" s="72" t="s">
        <v>657</v>
      </c>
      <c r="H80" s="72" t="str">
        <f>IFERROR(VLOOKUP(C80,DATA!$A$11:$L$40,3,FALSE),"")</f>
        <v>FRESH Mangosteen</v>
      </c>
      <c r="I80" s="82" t="s">
        <v>658</v>
      </c>
      <c r="J80" s="82" t="s">
        <v>657</v>
      </c>
      <c r="K80" s="82" t="s">
        <v>659</v>
      </c>
      <c r="L80" s="77" t="s">
        <v>656</v>
      </c>
      <c r="M80" s="78">
        <f>IFERROR(VLOOKUP(C80,DATA!$A$11:$L$40,4,FALSE),"")</f>
        <v>13</v>
      </c>
      <c r="N80" s="79">
        <f>IFERROR(VLOOKUP(C80,DATA!$A$11:$L$40,5,FALSE),"")</f>
        <v>11</v>
      </c>
      <c r="O80" s="79">
        <f>IFERROR(VLOOKUP(C80,DATA!$A$11:$L$40,6,FALSE),"")</f>
        <v>17</v>
      </c>
      <c r="P80" s="79">
        <f>IFERROR(VLOOKUP(C80,DATA!$A$11:$L$40,7,FALSE),"")</f>
        <v>14.5</v>
      </c>
      <c r="Q80" s="80">
        <f>IFERROR(VLOOKUP(C80,DATA!$A$11:$L$40,8,FALSE),"")</f>
        <v>1350</v>
      </c>
      <c r="R80" s="72" t="str">
        <f>IFERROR(VLOOKUP(C80,DATA!$A$11:$L$40,9,FALSE),"")</f>
        <v>PLASTIC BASKETS</v>
      </c>
      <c r="S80" s="74">
        <f>IFERROR(VLOOKUP(C80,DATA!$A$11:$L$40,10,FALSE),"")</f>
        <v>9</v>
      </c>
      <c r="T80" s="81" t="str">
        <f>IFERROR(VLOOKUP(C80,DATA!$A$11:$L$40,11,FALSE),"")</f>
        <v>5%</v>
      </c>
      <c r="U80" s="82" t="str">
        <f>IFERROR(VLOOKUP(C80,DATA!$A$11:$L$40,12,FALSE),"")</f>
        <v>SAMBA SUPPLY CHAIN (SHANGHAI) CO., LTD</v>
      </c>
      <c r="V80" s="72" t="s">
        <v>190</v>
      </c>
      <c r="W80" s="72" t="s">
        <v>211</v>
      </c>
      <c r="X80" s="72" t="s">
        <v>192</v>
      </c>
      <c r="Y80" s="72" t="s">
        <v>212</v>
      </c>
      <c r="Z80" s="73">
        <v>45419</v>
      </c>
      <c r="AA80" s="73" t="s">
        <v>642</v>
      </c>
      <c r="AB80" s="83">
        <v>45427</v>
      </c>
      <c r="AC80" s="83">
        <v>45432</v>
      </c>
      <c r="AD80" s="72" t="s">
        <v>24</v>
      </c>
      <c r="AE80" s="72"/>
      <c r="AF80" s="72" t="s">
        <v>228</v>
      </c>
      <c r="AG80" s="72" t="s">
        <v>660</v>
      </c>
      <c r="AH80" s="72" t="s">
        <v>661</v>
      </c>
      <c r="AI80" s="72" t="s">
        <v>662</v>
      </c>
      <c r="AJ80" s="72" t="s">
        <v>197</v>
      </c>
      <c r="AK80" s="66">
        <v>45419</v>
      </c>
      <c r="AL80" s="66"/>
      <c r="AM80" s="73"/>
      <c r="AN80" s="81"/>
      <c r="AO80" s="81"/>
      <c r="AP80" s="81">
        <f t="shared" si="5"/>
        <v>0</v>
      </c>
      <c r="AQ80" s="59"/>
    </row>
    <row r="81" spans="1:43" ht="18" customHeight="1">
      <c r="A81" s="72" t="s">
        <v>663</v>
      </c>
      <c r="B81" s="73">
        <v>45419</v>
      </c>
      <c r="C81" s="72" t="s">
        <v>96</v>
      </c>
      <c r="D81" s="74">
        <v>16</v>
      </c>
      <c r="E81" s="72" t="s">
        <v>226</v>
      </c>
      <c r="F81" s="89" t="s">
        <v>227</v>
      </c>
      <c r="G81" s="72" t="s">
        <v>664</v>
      </c>
      <c r="H81" s="72" t="str">
        <f>IFERROR(VLOOKUP(C81,DATA!$A$11:$L$40,3,FALSE),"")</f>
        <v>FRESH DURIAN</v>
      </c>
      <c r="I81" s="82" t="s">
        <v>665</v>
      </c>
      <c r="J81" s="82" t="s">
        <v>664</v>
      </c>
      <c r="K81" s="82" t="s">
        <v>666</v>
      </c>
      <c r="L81" s="77" t="s">
        <v>663</v>
      </c>
      <c r="M81" s="78" t="str">
        <f>IFERROR(VLOOKUP(C81,DATA!$A$11:$L$40,4,FALSE),"")</f>
        <v>5.00</v>
      </c>
      <c r="N81" s="79">
        <f>IFERROR(VLOOKUP(C81,DATA!$A$11:$L$40,5,FALSE),"")</f>
        <v>4.5999999999999996</v>
      </c>
      <c r="O81" s="79">
        <f>IFERROR(VLOOKUP(C81,DATA!$A$11:$L$40,6,FALSE),"")</f>
        <v>20</v>
      </c>
      <c r="P81" s="79">
        <f>IFERROR(VLOOKUP(C81,DATA!$A$11:$L$40,7,FALSE),"")</f>
        <v>18</v>
      </c>
      <c r="Q81" s="80">
        <f>IFERROR(VLOOKUP(C81,DATA!$A$11:$L$40,8,FALSE),"")</f>
        <v>960</v>
      </c>
      <c r="R81" s="72" t="str">
        <f>IFERROR(VLOOKUP(C81,DATA!$A$11:$L$40,9,FALSE),"")</f>
        <v>CARTONS</v>
      </c>
      <c r="S81" s="74">
        <f>IFERROR(VLOOKUP(C81,DATA!$A$11:$L$40,10,FALSE),"")</f>
        <v>14</v>
      </c>
      <c r="T81" s="81" t="str">
        <f>IFERROR(VLOOKUP(C81,DATA!$A$11:$L$40,11,FALSE),"")</f>
        <v>35%</v>
      </c>
      <c r="U81" s="82" t="str">
        <f>IFERROR(VLOOKUP(C81,DATA!$A$11:$L$40,12,FALSE),"")</f>
        <v>BEIJING JUNYAO INTERNATIONAL</v>
      </c>
      <c r="V81" s="72" t="s">
        <v>190</v>
      </c>
      <c r="W81" s="72" t="s">
        <v>211</v>
      </c>
      <c r="X81" s="72" t="s">
        <v>192</v>
      </c>
      <c r="Y81" s="72" t="s">
        <v>212</v>
      </c>
      <c r="Z81" s="73">
        <v>45419</v>
      </c>
      <c r="AA81" s="73" t="s">
        <v>642</v>
      </c>
      <c r="AB81" s="83">
        <v>45427</v>
      </c>
      <c r="AC81" s="83">
        <v>45432</v>
      </c>
      <c r="AD81" s="72" t="s">
        <v>24</v>
      </c>
      <c r="AE81" s="72"/>
      <c r="AF81" s="72" t="s">
        <v>667</v>
      </c>
      <c r="AG81" s="72" t="s">
        <v>668</v>
      </c>
      <c r="AH81" s="72" t="s">
        <v>669</v>
      </c>
      <c r="AI81" s="72" t="s">
        <v>670</v>
      </c>
      <c r="AJ81" s="72" t="s">
        <v>197</v>
      </c>
      <c r="AK81" s="66">
        <v>45419</v>
      </c>
      <c r="AL81" s="66"/>
      <c r="AM81" s="73"/>
      <c r="AN81" s="81"/>
      <c r="AO81" s="81"/>
      <c r="AP81" s="81">
        <f t="shared" si="5"/>
        <v>0</v>
      </c>
      <c r="AQ81" s="59"/>
    </row>
    <row r="82" spans="1:43" ht="18" customHeight="1">
      <c r="A82" s="6" t="s">
        <v>671</v>
      </c>
      <c r="B82" s="60">
        <v>45426</v>
      </c>
      <c r="C82" s="6" t="s">
        <v>128</v>
      </c>
      <c r="D82" s="30">
        <v>16</v>
      </c>
      <c r="E82" s="6" t="s">
        <v>608</v>
      </c>
      <c r="F82" s="5" t="s">
        <v>609</v>
      </c>
      <c r="G82" s="6" t="str">
        <f t="shared" ref="G82:G91" si="7">J82</f>
        <v>CGMU5532288</v>
      </c>
      <c r="H82" s="6" t="str">
        <f>IFERROR(VLOOKUP(C82,DATA!$A$11:$L$40,3,FALSE),"")</f>
        <v>FRESH DURIAN</v>
      </c>
      <c r="I82" s="32" t="s">
        <v>672</v>
      </c>
      <c r="J82" s="110" t="s">
        <v>673</v>
      </c>
      <c r="K82" s="32" t="s">
        <v>674</v>
      </c>
      <c r="L82" s="62" t="s">
        <v>671</v>
      </c>
      <c r="M82" s="37">
        <f>IFERROR(VLOOKUP(C82,DATA!$A$11:$L$40,4,FALSE),"")</f>
        <v>35.5</v>
      </c>
      <c r="N82" s="28">
        <f>IFERROR(VLOOKUP(C82,DATA!$A$11:$L$40,5,FALSE),"")</f>
        <v>33.5</v>
      </c>
      <c r="O82" s="28">
        <f>IFERROR(VLOOKUP(C82,DATA!$A$11:$L$40,6,FALSE),"")</f>
        <v>19</v>
      </c>
      <c r="P82" s="28">
        <f>IFERROR(VLOOKUP(C82,DATA!$A$11:$L$40,7,FALSE),"")</f>
        <v>17</v>
      </c>
      <c r="Q82" s="29">
        <f>IFERROR(VLOOKUP(C82,DATA!$A$11:$L$40,8,FALSE),"")</f>
        <v>960</v>
      </c>
      <c r="R82" s="6" t="str">
        <f>IFERROR(VLOOKUP(C82,DATA!$A$11:$L$40,9,FALSE),"")</f>
        <v>CARTONS</v>
      </c>
      <c r="S82" s="30">
        <f>IFERROR(VLOOKUP(C82,DATA!$A$11:$L$40,10,FALSE),"")</f>
        <v>11</v>
      </c>
      <c r="T82" s="63" t="str">
        <f>IFERROR(VLOOKUP(C82,DATA!$A$11:$L$40,11,FALSE),"")</f>
        <v>25%</v>
      </c>
      <c r="U82" s="32" t="str">
        <f>IFERROR(VLOOKUP(C82,DATA!$A$11:$L$40,12,FALSE),"")</f>
        <v>SAMBA SUPPLY CHAIN (SHANGHAI) CO., LTD</v>
      </c>
      <c r="V82" s="6" t="s">
        <v>190</v>
      </c>
      <c r="W82" s="6" t="s">
        <v>198</v>
      </c>
      <c r="X82" s="6" t="s">
        <v>192</v>
      </c>
      <c r="Y82" s="6" t="s">
        <v>193</v>
      </c>
      <c r="Z82" s="60">
        <v>45426</v>
      </c>
      <c r="AA82" s="60" t="s">
        <v>675</v>
      </c>
      <c r="AB82" s="64">
        <v>45430</v>
      </c>
      <c r="AC82" s="64">
        <v>45433</v>
      </c>
      <c r="AD82" s="6" t="s">
        <v>13</v>
      </c>
      <c r="AE82" s="6" t="s">
        <v>676</v>
      </c>
      <c r="AF82" s="65" t="s">
        <v>201</v>
      </c>
      <c r="AG82" s="65" t="s">
        <v>326</v>
      </c>
      <c r="AH82" s="65" t="s">
        <v>327</v>
      </c>
      <c r="AI82" s="65" t="s">
        <v>328</v>
      </c>
      <c r="AJ82" s="65" t="s">
        <v>197</v>
      </c>
      <c r="AK82" s="66">
        <v>45426</v>
      </c>
      <c r="AL82" s="66">
        <v>45427</v>
      </c>
      <c r="AM82" s="66"/>
      <c r="AN82" s="67"/>
      <c r="AO82" s="67"/>
      <c r="AP82" s="67">
        <f t="shared" si="5"/>
        <v>0</v>
      </c>
      <c r="AQ82" s="59"/>
    </row>
    <row r="83" spans="1:43" ht="18" customHeight="1">
      <c r="A83" s="6" t="s">
        <v>677</v>
      </c>
      <c r="B83" s="60">
        <v>45427</v>
      </c>
      <c r="C83" s="6" t="s">
        <v>138</v>
      </c>
      <c r="D83" s="30">
        <v>17</v>
      </c>
      <c r="E83" s="6" t="s">
        <v>586</v>
      </c>
      <c r="F83" s="6" t="s">
        <v>587</v>
      </c>
      <c r="G83" s="6" t="str">
        <f t="shared" si="7"/>
        <v>CGMU4991003</v>
      </c>
      <c r="H83" s="30" t="s">
        <v>134</v>
      </c>
      <c r="I83" s="32" t="s">
        <v>678</v>
      </c>
      <c r="J83" s="32" t="s">
        <v>679</v>
      </c>
      <c r="K83" s="32" t="s">
        <v>680</v>
      </c>
      <c r="L83" s="62" t="s">
        <v>677</v>
      </c>
      <c r="M83" s="37">
        <f>IFERROR(VLOOKUP(C83,DATA!$A$11:$L$40,4,FALSE),"")</f>
        <v>13</v>
      </c>
      <c r="N83" s="28">
        <f>IFERROR(VLOOKUP(C83,DATA!$A$11:$L$40,5,FALSE),"")</f>
        <v>11</v>
      </c>
      <c r="O83" s="28">
        <f>IFERROR(VLOOKUP(C83,DATA!$A$11:$L$40,6,FALSE),"")</f>
        <v>17</v>
      </c>
      <c r="P83" s="28">
        <f>IFERROR(VLOOKUP(C83,DATA!$A$11:$L$40,7,FALSE),"")</f>
        <v>14.5</v>
      </c>
      <c r="Q83" s="29">
        <f>IFERROR(VLOOKUP(C83,DATA!$A$11:$L$40,8,FALSE),"")</f>
        <v>1350</v>
      </c>
      <c r="R83" s="6" t="str">
        <f>IFERROR(VLOOKUP(C83,DATA!$A$11:$L$40,9,FALSE),"")</f>
        <v>PLASTIC BASKETS</v>
      </c>
      <c r="S83" s="30">
        <f>IFERROR(VLOOKUP(C83,DATA!$A$11:$L$40,10,FALSE),"")</f>
        <v>9</v>
      </c>
      <c r="T83" s="63" t="str">
        <f>IFERROR(VLOOKUP(C83,DATA!$A$11:$L$40,11,FALSE),"")</f>
        <v>5%</v>
      </c>
      <c r="U83" s="32" t="str">
        <f>IFERROR(VLOOKUP(C83,DATA!$A$11:$L$40,12,FALSE),"")</f>
        <v>SAMBA SUPPLY CHAIN (SHANGHAI) CO., LTD</v>
      </c>
      <c r="V83" s="6" t="s">
        <v>190</v>
      </c>
      <c r="W83" s="6" t="s">
        <v>198</v>
      </c>
      <c r="X83" s="6" t="s">
        <v>192</v>
      </c>
      <c r="Y83" s="6" t="s">
        <v>193</v>
      </c>
      <c r="Z83" s="60">
        <v>45427</v>
      </c>
      <c r="AA83" s="60" t="s">
        <v>681</v>
      </c>
      <c r="AB83" s="64">
        <v>45430</v>
      </c>
      <c r="AC83" s="64">
        <v>45433</v>
      </c>
      <c r="AD83" s="6" t="s">
        <v>13</v>
      </c>
      <c r="AE83" s="6" t="s">
        <v>676</v>
      </c>
      <c r="AF83" s="65" t="s">
        <v>201</v>
      </c>
      <c r="AG83" s="65" t="s">
        <v>202</v>
      </c>
      <c r="AH83" s="65" t="s">
        <v>203</v>
      </c>
      <c r="AI83" s="65" t="s">
        <v>615</v>
      </c>
      <c r="AJ83" s="65" t="s">
        <v>197</v>
      </c>
      <c r="AK83" s="66">
        <v>45427</v>
      </c>
      <c r="AL83" s="66">
        <v>45428</v>
      </c>
      <c r="AM83" s="66"/>
      <c r="AN83" s="67"/>
      <c r="AO83" s="67"/>
      <c r="AP83" s="67">
        <f t="shared" si="5"/>
        <v>0</v>
      </c>
      <c r="AQ83" s="59"/>
    </row>
    <row r="84" spans="1:43" ht="18" customHeight="1">
      <c r="A84" s="6" t="s">
        <v>682</v>
      </c>
      <c r="B84" s="60">
        <v>45429</v>
      </c>
      <c r="C84" s="6" t="s">
        <v>128</v>
      </c>
      <c r="D84" s="30">
        <v>18</v>
      </c>
      <c r="E84" s="6" t="s">
        <v>608</v>
      </c>
      <c r="F84" s="5" t="s">
        <v>609</v>
      </c>
      <c r="G84" s="6" t="str">
        <f t="shared" si="7"/>
        <v>FBIU5561511</v>
      </c>
      <c r="H84" s="6" t="str">
        <f>IFERROR(VLOOKUP(C84,DATA!$A$11:$L$40,3,FALSE),"")</f>
        <v>FRESH DURIAN</v>
      </c>
      <c r="I84" s="110" t="s">
        <v>683</v>
      </c>
      <c r="J84" s="32" t="s">
        <v>684</v>
      </c>
      <c r="K84" s="32" t="s">
        <v>685</v>
      </c>
      <c r="L84" s="62" t="s">
        <v>682</v>
      </c>
      <c r="M84" s="37">
        <f>IFERROR(VLOOKUP(C84,DATA!$A$11:$L$40,4,FALSE),"")</f>
        <v>35.5</v>
      </c>
      <c r="N84" s="28">
        <f>IFERROR(VLOOKUP(C84,DATA!$A$11:$L$40,5,FALSE),"")</f>
        <v>33.5</v>
      </c>
      <c r="O84" s="28">
        <f>IFERROR(VLOOKUP(C84,DATA!$A$11:$L$40,6,FALSE),"")</f>
        <v>19</v>
      </c>
      <c r="P84" s="28">
        <f>IFERROR(VLOOKUP(C84,DATA!$A$11:$L$40,7,FALSE),"")</f>
        <v>17</v>
      </c>
      <c r="Q84" s="29">
        <f>IFERROR(VLOOKUP(C84,DATA!$A$11:$L$40,8,FALSE),"")</f>
        <v>960</v>
      </c>
      <c r="R84" s="6" t="str">
        <f>IFERROR(VLOOKUP(C84,DATA!$A$11:$L$40,9,FALSE),"")</f>
        <v>CARTONS</v>
      </c>
      <c r="S84" s="30">
        <f>IFERROR(VLOOKUP(C84,DATA!$A$11:$L$40,10,FALSE),"")</f>
        <v>11</v>
      </c>
      <c r="T84" s="63" t="str">
        <f>IFERROR(VLOOKUP(C84,DATA!$A$11:$L$40,11,FALSE),"")</f>
        <v>25%</v>
      </c>
      <c r="U84" s="32" t="str">
        <f>IFERROR(VLOOKUP(C84,DATA!$A$11:$L$40,12,FALSE),"")</f>
        <v>SAMBA SUPPLY CHAIN (SHANGHAI) CO., LTD</v>
      </c>
      <c r="V84" s="6" t="s">
        <v>190</v>
      </c>
      <c r="W84" s="6" t="s">
        <v>686</v>
      </c>
      <c r="X84" s="6" t="s">
        <v>192</v>
      </c>
      <c r="Y84" s="6" t="s">
        <v>231</v>
      </c>
      <c r="Z84" s="60">
        <v>45429</v>
      </c>
      <c r="AA84" s="60" t="s">
        <v>687</v>
      </c>
      <c r="AB84" s="64">
        <v>45432</v>
      </c>
      <c r="AC84" s="64">
        <v>45436</v>
      </c>
      <c r="AD84" s="6" t="s">
        <v>24</v>
      </c>
      <c r="AE84" s="6" t="s">
        <v>688</v>
      </c>
      <c r="AF84" s="65" t="s">
        <v>201</v>
      </c>
      <c r="AG84" s="65" t="s">
        <v>205</v>
      </c>
      <c r="AH84" s="65" t="s">
        <v>206</v>
      </c>
      <c r="AI84" s="65" t="s">
        <v>207</v>
      </c>
      <c r="AJ84" s="65" t="s">
        <v>197</v>
      </c>
      <c r="AK84" s="66">
        <v>45429</v>
      </c>
      <c r="AL84" s="66">
        <v>45431</v>
      </c>
      <c r="AM84" s="66"/>
      <c r="AN84" s="67"/>
      <c r="AO84" s="67"/>
      <c r="AP84" s="67">
        <f t="shared" si="5"/>
        <v>0</v>
      </c>
      <c r="AQ84" s="59"/>
    </row>
    <row r="85" spans="1:43" ht="18" customHeight="1">
      <c r="A85" s="6" t="s">
        <v>689</v>
      </c>
      <c r="B85" s="60">
        <v>45429</v>
      </c>
      <c r="C85" s="6" t="s">
        <v>138</v>
      </c>
      <c r="D85" s="30">
        <v>19</v>
      </c>
      <c r="E85" s="6" t="s">
        <v>586</v>
      </c>
      <c r="F85" s="6" t="s">
        <v>587</v>
      </c>
      <c r="G85" s="6" t="str">
        <f t="shared" si="7"/>
        <v>SEGU9161366</v>
      </c>
      <c r="H85" s="30" t="s">
        <v>134</v>
      </c>
      <c r="I85" s="110" t="s">
        <v>690</v>
      </c>
      <c r="J85" s="32" t="s">
        <v>691</v>
      </c>
      <c r="K85" s="110" t="s">
        <v>692</v>
      </c>
      <c r="L85" s="62" t="s">
        <v>689</v>
      </c>
      <c r="M85" s="37">
        <f>IFERROR(VLOOKUP(C85,DATA!$A$11:$L$40,4,FALSE),"")</f>
        <v>13</v>
      </c>
      <c r="N85" s="28">
        <f>IFERROR(VLOOKUP(C85,DATA!$A$11:$L$40,5,FALSE),"")</f>
        <v>11</v>
      </c>
      <c r="O85" s="28">
        <f>IFERROR(VLOOKUP(C85,DATA!$A$11:$L$40,6,FALSE),"")</f>
        <v>17</v>
      </c>
      <c r="P85" s="28">
        <f>IFERROR(VLOOKUP(C85,DATA!$A$11:$L$40,7,FALSE),"")</f>
        <v>14.5</v>
      </c>
      <c r="Q85" s="29">
        <f>IFERROR(VLOOKUP(C85,DATA!$A$11:$L$40,8,FALSE),"")</f>
        <v>1350</v>
      </c>
      <c r="R85" s="6" t="str">
        <f>IFERROR(VLOOKUP(C85,DATA!$A$11:$L$40,9,FALSE),"")</f>
        <v>PLASTIC BASKETS</v>
      </c>
      <c r="S85" s="30">
        <f>IFERROR(VLOOKUP(C85,DATA!$A$11:$L$40,10,FALSE),"")</f>
        <v>9</v>
      </c>
      <c r="T85" s="63" t="str">
        <f>IFERROR(VLOOKUP(C85,DATA!$A$11:$L$40,11,FALSE),"")</f>
        <v>5%</v>
      </c>
      <c r="U85" s="32" t="str">
        <f>IFERROR(VLOOKUP(C85,DATA!$A$11:$L$40,12,FALSE),"")</f>
        <v>SAMBA SUPPLY CHAIN (SHANGHAI) CO., LTD</v>
      </c>
      <c r="V85" s="6" t="s">
        <v>190</v>
      </c>
      <c r="W85" s="6" t="s">
        <v>686</v>
      </c>
      <c r="X85" s="6" t="s">
        <v>192</v>
      </c>
      <c r="Y85" s="6" t="s">
        <v>231</v>
      </c>
      <c r="Z85" s="60">
        <v>45429</v>
      </c>
      <c r="AA85" s="60" t="s">
        <v>687</v>
      </c>
      <c r="AB85" s="64">
        <v>45432</v>
      </c>
      <c r="AC85" s="64">
        <v>45436</v>
      </c>
      <c r="AD85" s="6" t="s">
        <v>24</v>
      </c>
      <c r="AE85" s="6" t="s">
        <v>688</v>
      </c>
      <c r="AF85" s="65" t="s">
        <v>201</v>
      </c>
      <c r="AG85" s="65" t="s">
        <v>498</v>
      </c>
      <c r="AH85" s="65" t="s">
        <v>693</v>
      </c>
      <c r="AI85" s="65" t="s">
        <v>694</v>
      </c>
      <c r="AJ85" s="65" t="s">
        <v>197</v>
      </c>
      <c r="AK85" s="66">
        <v>45429</v>
      </c>
      <c r="AL85" s="66">
        <v>45431</v>
      </c>
      <c r="AM85" s="66"/>
      <c r="AN85" s="67"/>
      <c r="AO85" s="67"/>
      <c r="AP85" s="67">
        <f t="shared" si="5"/>
        <v>0</v>
      </c>
      <c r="AQ85" s="59"/>
    </row>
    <row r="86" spans="1:43" ht="18" customHeight="1">
      <c r="A86" s="6" t="s">
        <v>695</v>
      </c>
      <c r="B86" s="60">
        <v>45430</v>
      </c>
      <c r="C86" s="6" t="s">
        <v>138</v>
      </c>
      <c r="D86" s="30">
        <v>20</v>
      </c>
      <c r="E86" s="6" t="s">
        <v>586</v>
      </c>
      <c r="F86" s="6" t="s">
        <v>587</v>
      </c>
      <c r="G86" s="6" t="str">
        <f t="shared" si="7"/>
        <v>TEMU9533747</v>
      </c>
      <c r="H86" s="30" t="s">
        <v>134</v>
      </c>
      <c r="I86" s="32" t="s">
        <v>696</v>
      </c>
      <c r="J86" s="32" t="s">
        <v>697</v>
      </c>
      <c r="K86" s="32" t="s">
        <v>698</v>
      </c>
      <c r="L86" s="62" t="s">
        <v>695</v>
      </c>
      <c r="M86" s="37">
        <f>IFERROR(VLOOKUP(C86,DATA!$A$11:$L$40,4,FALSE),"")</f>
        <v>13</v>
      </c>
      <c r="N86" s="28">
        <f>IFERROR(VLOOKUP(C86,DATA!$A$11:$L$40,5,FALSE),"")</f>
        <v>11</v>
      </c>
      <c r="O86" s="28">
        <f>IFERROR(VLOOKUP(C86,DATA!$A$11:$L$40,6,FALSE),"")</f>
        <v>17</v>
      </c>
      <c r="P86" s="28">
        <f>IFERROR(VLOOKUP(C86,DATA!$A$11:$L$40,7,FALSE),"")</f>
        <v>14.5</v>
      </c>
      <c r="Q86" s="29">
        <f>IFERROR(VLOOKUP(C86,DATA!$A$11:$L$40,8,FALSE),"")</f>
        <v>1350</v>
      </c>
      <c r="R86" s="6" t="str">
        <f>IFERROR(VLOOKUP(C86,DATA!$A$11:$L$40,9,FALSE),"")</f>
        <v>PLASTIC BASKETS</v>
      </c>
      <c r="S86" s="30">
        <f>IFERROR(VLOOKUP(C86,DATA!$A$11:$L$40,10,FALSE),"")</f>
        <v>9</v>
      </c>
      <c r="T86" s="63" t="str">
        <f>IFERROR(VLOOKUP(C86,DATA!$A$11:$L$40,11,FALSE),"")</f>
        <v>5%</v>
      </c>
      <c r="U86" s="32" t="str">
        <f>IFERROR(VLOOKUP(C86,DATA!$A$11:$L$40,12,FALSE),"")</f>
        <v>SAMBA SUPPLY CHAIN (SHANGHAI) CO., LTD</v>
      </c>
      <c r="V86" s="6" t="s">
        <v>190</v>
      </c>
      <c r="W86" s="6" t="s">
        <v>686</v>
      </c>
      <c r="X86" s="6" t="s">
        <v>192</v>
      </c>
      <c r="Y86" s="6" t="s">
        <v>193</v>
      </c>
      <c r="Z86" s="60">
        <v>45430</v>
      </c>
      <c r="AA86" s="60" t="s">
        <v>699</v>
      </c>
      <c r="AB86" s="64">
        <v>45435</v>
      </c>
      <c r="AC86" s="64">
        <v>45439</v>
      </c>
      <c r="AD86" s="6" t="s">
        <v>13</v>
      </c>
      <c r="AE86" s="6" t="s">
        <v>700</v>
      </c>
      <c r="AF86" s="65" t="s">
        <v>201</v>
      </c>
      <c r="AG86" s="65" t="s">
        <v>326</v>
      </c>
      <c r="AH86" s="65" t="s">
        <v>327</v>
      </c>
      <c r="AI86" s="65" t="s">
        <v>328</v>
      </c>
      <c r="AJ86" s="65" t="s">
        <v>197</v>
      </c>
      <c r="AK86" s="66">
        <v>45430</v>
      </c>
      <c r="AL86" s="66">
        <v>45432</v>
      </c>
      <c r="AM86" s="66"/>
      <c r="AN86" s="67"/>
      <c r="AO86" s="67"/>
      <c r="AP86" s="67">
        <f t="shared" si="5"/>
        <v>0</v>
      </c>
      <c r="AQ86" s="59"/>
    </row>
    <row r="87" spans="1:43" ht="18" customHeight="1">
      <c r="A87" s="6" t="s">
        <v>701</v>
      </c>
      <c r="B87" s="60">
        <v>45433</v>
      </c>
      <c r="C87" s="6" t="s">
        <v>138</v>
      </c>
      <c r="D87" s="30">
        <v>21</v>
      </c>
      <c r="E87" s="6" t="s">
        <v>586</v>
      </c>
      <c r="F87" s="6" t="s">
        <v>587</v>
      </c>
      <c r="G87" s="6" t="str">
        <f t="shared" si="7"/>
        <v>SZLU9404515</v>
      </c>
      <c r="H87" s="30" t="s">
        <v>134</v>
      </c>
      <c r="I87" s="32" t="s">
        <v>702</v>
      </c>
      <c r="J87" s="32" t="s">
        <v>703</v>
      </c>
      <c r="K87" s="32" t="s">
        <v>704</v>
      </c>
      <c r="L87" s="62" t="s">
        <v>701</v>
      </c>
      <c r="M87" s="37">
        <f>IFERROR(VLOOKUP(C87,DATA!$A$11:$L$40,4,FALSE),"")</f>
        <v>13</v>
      </c>
      <c r="N87" s="28">
        <f>IFERROR(VLOOKUP(C87,DATA!$A$11:$L$40,5,FALSE),"")</f>
        <v>11</v>
      </c>
      <c r="O87" s="28">
        <f>IFERROR(VLOOKUP(C87,DATA!$A$11:$L$40,6,FALSE),"")</f>
        <v>17</v>
      </c>
      <c r="P87" s="28">
        <f>IFERROR(VLOOKUP(C87,DATA!$A$11:$L$40,7,FALSE),"")</f>
        <v>14.5</v>
      </c>
      <c r="Q87" s="29">
        <f>IFERROR(VLOOKUP(C87,DATA!$A$11:$L$40,8,FALSE),"")</f>
        <v>1350</v>
      </c>
      <c r="R87" s="6" t="str">
        <f>IFERROR(VLOOKUP(C87,DATA!$A$11:$L$40,9,FALSE),"")</f>
        <v>PLASTIC BASKETS</v>
      </c>
      <c r="S87" s="30">
        <f>IFERROR(VLOOKUP(C87,DATA!$A$11:$L$40,10,FALSE),"")</f>
        <v>9</v>
      </c>
      <c r="T87" s="63" t="str">
        <f>IFERROR(VLOOKUP(C87,DATA!$A$11:$L$40,11,FALSE),"")</f>
        <v>5%</v>
      </c>
      <c r="U87" s="32" t="str">
        <f>IFERROR(VLOOKUP(C87,DATA!$A$11:$L$40,12,FALSE),"")</f>
        <v>SAMBA SUPPLY CHAIN (SHANGHAI) CO., LTD</v>
      </c>
      <c r="V87" s="6" t="s">
        <v>190</v>
      </c>
      <c r="W87" s="6" t="s">
        <v>705</v>
      </c>
      <c r="X87" s="6" t="s">
        <v>192</v>
      </c>
      <c r="Y87" s="6" t="s">
        <v>193</v>
      </c>
      <c r="Z87" s="60">
        <v>45433</v>
      </c>
      <c r="AA87" s="60" t="s">
        <v>706</v>
      </c>
      <c r="AB87" s="64">
        <v>45438</v>
      </c>
      <c r="AC87" s="64">
        <v>45442</v>
      </c>
      <c r="AD87" s="6" t="s">
        <v>13</v>
      </c>
      <c r="AE87" s="6" t="s">
        <v>707</v>
      </c>
      <c r="AF87" s="65" t="s">
        <v>201</v>
      </c>
      <c r="AG87" s="65" t="s">
        <v>463</v>
      </c>
      <c r="AH87" s="65" t="s">
        <v>499</v>
      </c>
      <c r="AI87" s="65" t="s">
        <v>464</v>
      </c>
      <c r="AJ87" s="65" t="s">
        <v>197</v>
      </c>
      <c r="AK87" s="66">
        <v>45433</v>
      </c>
      <c r="AL87" s="66">
        <v>45434</v>
      </c>
      <c r="AM87" s="66"/>
      <c r="AN87" s="67"/>
      <c r="AO87" s="67"/>
      <c r="AP87" s="67">
        <f t="shared" si="5"/>
        <v>0</v>
      </c>
      <c r="AQ87" s="59"/>
    </row>
    <row r="88" spans="1:43" ht="17.25" customHeight="1">
      <c r="A88" s="6" t="s">
        <v>708</v>
      </c>
      <c r="B88" s="60">
        <v>45435</v>
      </c>
      <c r="C88" s="6" t="s">
        <v>140</v>
      </c>
      <c r="D88" s="30">
        <v>1</v>
      </c>
      <c r="E88" s="6" t="s">
        <v>709</v>
      </c>
      <c r="F88" s="6" t="s">
        <v>710</v>
      </c>
      <c r="G88" s="6" t="str">
        <f t="shared" si="7"/>
        <v>TEMU9556249</v>
      </c>
      <c r="H88" s="30" t="s">
        <v>134</v>
      </c>
      <c r="I88" s="61" t="s">
        <v>711</v>
      </c>
      <c r="J88" s="32" t="s">
        <v>712</v>
      </c>
      <c r="K88" s="61" t="s">
        <v>713</v>
      </c>
      <c r="L88" s="62" t="s">
        <v>708</v>
      </c>
      <c r="M88" s="37">
        <f>IFERROR(VLOOKUP(C88,DATA!$A$11:$L$40,4,FALSE),"")</f>
        <v>12</v>
      </c>
      <c r="N88" s="28">
        <f>IFERROR(VLOOKUP(C88,DATA!$A$11:$L$40,5,FALSE),"")</f>
        <v>10.14</v>
      </c>
      <c r="O88" s="28">
        <f>IFERROR(VLOOKUP(C88,DATA!$A$11:$L$40,6,FALSE),"")</f>
        <v>17.5</v>
      </c>
      <c r="P88" s="28">
        <f>IFERROR(VLOOKUP(C88,DATA!$A$11:$L$40,7,FALSE),"")</f>
        <v>14.5</v>
      </c>
      <c r="Q88" s="29">
        <f>IFERROR(VLOOKUP(C88,DATA!$A$11:$L$40,8,FALSE),"")</f>
        <v>1728</v>
      </c>
      <c r="R88" s="6" t="str">
        <f>IFERROR(VLOOKUP(C88,DATA!$A$11:$L$40,9,FALSE),"")</f>
        <v>PLASTIC BASKETS</v>
      </c>
      <c r="S88" s="30">
        <f>IFERROR(VLOOKUP(C88,DATA!$A$11:$L$40,10,FALSE),"")</f>
        <v>12</v>
      </c>
      <c r="T88" s="63" t="str">
        <f>IFERROR(VLOOKUP(C88,DATA!$A$11:$L$40,11,FALSE),"")</f>
        <v>5%</v>
      </c>
      <c r="U88" s="32" t="str">
        <f>IFERROR(VLOOKUP(C88,DATA!$A$11:$L$40,12,FALSE),"")</f>
        <v>SHENZHEN DERUIJIA TRADING CO,. LTD</v>
      </c>
      <c r="V88" s="6" t="s">
        <v>714</v>
      </c>
      <c r="W88" s="6" t="s">
        <v>715</v>
      </c>
      <c r="X88" s="6" t="s">
        <v>192</v>
      </c>
      <c r="Y88" s="6" t="s">
        <v>491</v>
      </c>
      <c r="Z88" s="60">
        <v>45435</v>
      </c>
      <c r="AA88" s="60" t="s">
        <v>716</v>
      </c>
      <c r="AB88" s="64">
        <v>45439</v>
      </c>
      <c r="AC88" s="64">
        <v>45444</v>
      </c>
      <c r="AD88" s="6" t="s">
        <v>13</v>
      </c>
      <c r="AE88" s="6" t="s">
        <v>717</v>
      </c>
      <c r="AF88" s="65" t="s">
        <v>201</v>
      </c>
      <c r="AG88" s="65" t="s">
        <v>202</v>
      </c>
      <c r="AH88" s="65" t="s">
        <v>203</v>
      </c>
      <c r="AI88" s="65" t="s">
        <v>615</v>
      </c>
      <c r="AJ88" s="65" t="s">
        <v>197</v>
      </c>
      <c r="AK88" s="66">
        <v>45435</v>
      </c>
      <c r="AL88" s="66">
        <v>45438</v>
      </c>
      <c r="AM88" s="66"/>
      <c r="AN88" s="67"/>
      <c r="AO88" s="67"/>
      <c r="AP88" s="67">
        <f t="shared" si="5"/>
        <v>0</v>
      </c>
      <c r="AQ88" s="59"/>
    </row>
    <row r="89" spans="1:43" ht="18" customHeight="1">
      <c r="A89" s="6" t="s">
        <v>718</v>
      </c>
      <c r="B89" s="60">
        <v>45439</v>
      </c>
      <c r="C89" s="6" t="s">
        <v>140</v>
      </c>
      <c r="D89" s="30">
        <v>2</v>
      </c>
      <c r="E89" s="6" t="s">
        <v>709</v>
      </c>
      <c r="F89" s="6" t="s">
        <v>710</v>
      </c>
      <c r="G89" s="6" t="str">
        <f t="shared" si="7"/>
        <v>TEMU9323669</v>
      </c>
      <c r="H89" s="30" t="s">
        <v>134</v>
      </c>
      <c r="I89" s="32" t="s">
        <v>719</v>
      </c>
      <c r="J89" s="32" t="s">
        <v>720</v>
      </c>
      <c r="K89" s="61" t="s">
        <v>721</v>
      </c>
      <c r="L89" s="62" t="s">
        <v>718</v>
      </c>
      <c r="M89" s="37">
        <f>IFERROR(VLOOKUP(C89,DATA!$A$11:$L$40,4,FALSE),"")</f>
        <v>12</v>
      </c>
      <c r="N89" s="28">
        <f>IFERROR(VLOOKUP(C89,DATA!$A$11:$L$40,5,FALSE),"")</f>
        <v>10.14</v>
      </c>
      <c r="O89" s="28">
        <f>IFERROR(VLOOKUP(C89,DATA!$A$11:$L$40,6,FALSE),"")</f>
        <v>17.5</v>
      </c>
      <c r="P89" s="28">
        <f>IFERROR(VLOOKUP(C89,DATA!$A$11:$L$40,7,FALSE),"")</f>
        <v>14.5</v>
      </c>
      <c r="Q89" s="29">
        <v>2022</v>
      </c>
      <c r="R89" s="6" t="str">
        <f>IFERROR(VLOOKUP(C89,DATA!$A$11:$L$40,9,FALSE),"")</f>
        <v>PLASTIC BASKETS</v>
      </c>
      <c r="S89" s="30">
        <f>IFERROR(VLOOKUP(C89,DATA!$A$11:$L$40,10,FALSE),"")</f>
        <v>12</v>
      </c>
      <c r="T89" s="63" t="str">
        <f>IFERROR(VLOOKUP(C89,DATA!$A$11:$L$40,11,FALSE),"")</f>
        <v>5%</v>
      </c>
      <c r="U89" s="32" t="str">
        <f>IFERROR(VLOOKUP(C89,DATA!$A$11:$L$40,12,FALSE),"")</f>
        <v>SHENZHEN DERUIJIA TRADING CO,. LTD</v>
      </c>
      <c r="V89" s="6" t="s">
        <v>714</v>
      </c>
      <c r="W89" s="6" t="s">
        <v>715</v>
      </c>
      <c r="X89" s="6" t="s">
        <v>192</v>
      </c>
      <c r="Y89" s="6" t="s">
        <v>231</v>
      </c>
      <c r="Z89" s="60">
        <v>45439</v>
      </c>
      <c r="AA89" s="60" t="s">
        <v>722</v>
      </c>
      <c r="AB89" s="64">
        <v>45444</v>
      </c>
      <c r="AC89" s="64">
        <v>45447</v>
      </c>
      <c r="AD89" s="6" t="s">
        <v>24</v>
      </c>
      <c r="AE89" s="6" t="s">
        <v>723</v>
      </c>
      <c r="AF89" s="65" t="s">
        <v>201</v>
      </c>
      <c r="AG89" s="65" t="s">
        <v>326</v>
      </c>
      <c r="AH89" s="65" t="s">
        <v>203</v>
      </c>
      <c r="AI89" s="65" t="s">
        <v>615</v>
      </c>
      <c r="AJ89" s="65" t="s">
        <v>197</v>
      </c>
      <c r="AK89" s="66">
        <v>45439</v>
      </c>
      <c r="AL89" s="66">
        <v>45442</v>
      </c>
      <c r="AM89" s="66"/>
      <c r="AN89" s="67"/>
      <c r="AO89" s="67"/>
      <c r="AP89" s="67">
        <f t="shared" si="5"/>
        <v>0</v>
      </c>
      <c r="AQ89" s="59"/>
    </row>
    <row r="90" spans="1:43" ht="18" customHeight="1">
      <c r="A90" s="6" t="s">
        <v>724</v>
      </c>
      <c r="B90" s="60">
        <v>45439</v>
      </c>
      <c r="C90" s="6" t="s">
        <v>140</v>
      </c>
      <c r="D90" s="30">
        <v>3</v>
      </c>
      <c r="E90" s="6" t="s">
        <v>709</v>
      </c>
      <c r="F90" s="6" t="s">
        <v>710</v>
      </c>
      <c r="G90" s="6" t="str">
        <f t="shared" si="7"/>
        <v>SEGU9362545</v>
      </c>
      <c r="H90" s="30" t="s">
        <v>134</v>
      </c>
      <c r="I90" s="32" t="s">
        <v>725</v>
      </c>
      <c r="J90" s="32" t="s">
        <v>726</v>
      </c>
      <c r="K90" s="61" t="s">
        <v>727</v>
      </c>
      <c r="L90" s="62" t="s">
        <v>724</v>
      </c>
      <c r="M90" s="37">
        <f>IFERROR(VLOOKUP(C90,DATA!$A$11:$L$40,4,FALSE),"")</f>
        <v>12</v>
      </c>
      <c r="N90" s="28">
        <f>IFERROR(VLOOKUP(C90,DATA!$A$11:$L$40,5,FALSE),"")</f>
        <v>10.14</v>
      </c>
      <c r="O90" s="28">
        <f>IFERROR(VLOOKUP(C90,DATA!$A$11:$L$40,6,FALSE),"")</f>
        <v>17.5</v>
      </c>
      <c r="P90" s="28">
        <f>IFERROR(VLOOKUP(C90,DATA!$A$11:$L$40,7,FALSE),"")</f>
        <v>14.5</v>
      </c>
      <c r="Q90" s="29">
        <v>1896</v>
      </c>
      <c r="R90" s="6" t="str">
        <f>IFERROR(VLOOKUP(C90,DATA!$A$11:$L$40,9,FALSE),"")</f>
        <v>PLASTIC BASKETS</v>
      </c>
      <c r="S90" s="30">
        <f>IFERROR(VLOOKUP(C90,DATA!$A$11:$L$40,10,FALSE),"")</f>
        <v>12</v>
      </c>
      <c r="T90" s="63" t="str">
        <f>IFERROR(VLOOKUP(C90,DATA!$A$11:$L$40,11,FALSE),"")</f>
        <v>5%</v>
      </c>
      <c r="U90" s="32" t="str">
        <f>IFERROR(VLOOKUP(C90,DATA!$A$11:$L$40,12,FALSE),"")</f>
        <v>SHENZHEN DERUIJIA TRADING CO,. LTD</v>
      </c>
      <c r="V90" s="6" t="s">
        <v>714</v>
      </c>
      <c r="W90" s="6" t="s">
        <v>715</v>
      </c>
      <c r="X90" s="6" t="s">
        <v>192</v>
      </c>
      <c r="Y90" s="6" t="s">
        <v>231</v>
      </c>
      <c r="Z90" s="60">
        <v>45439</v>
      </c>
      <c r="AA90" s="60" t="s">
        <v>722</v>
      </c>
      <c r="AB90" s="64">
        <v>45444</v>
      </c>
      <c r="AC90" s="64">
        <v>45447</v>
      </c>
      <c r="AD90" s="6" t="s">
        <v>24</v>
      </c>
      <c r="AE90" s="6" t="s">
        <v>723</v>
      </c>
      <c r="AF90" s="65" t="s">
        <v>201</v>
      </c>
      <c r="AG90" s="65" t="s">
        <v>205</v>
      </c>
      <c r="AH90" s="65" t="s">
        <v>206</v>
      </c>
      <c r="AI90" s="65" t="s">
        <v>207</v>
      </c>
      <c r="AJ90" s="65" t="s">
        <v>197</v>
      </c>
      <c r="AK90" s="66">
        <v>45439</v>
      </c>
      <c r="AL90" s="66">
        <v>45442</v>
      </c>
      <c r="AM90" s="66"/>
      <c r="AN90" s="67"/>
      <c r="AO90" s="67"/>
      <c r="AP90" s="67">
        <f t="shared" si="5"/>
        <v>0</v>
      </c>
      <c r="AQ90" s="59"/>
    </row>
    <row r="91" spans="1:43" ht="18" customHeight="1" thickBot="1">
      <c r="A91" s="176" t="s">
        <v>728</v>
      </c>
      <c r="B91" s="177">
        <v>45439</v>
      </c>
      <c r="C91" s="176" t="s">
        <v>138</v>
      </c>
      <c r="D91" s="178">
        <v>22</v>
      </c>
      <c r="E91" s="176" t="s">
        <v>586</v>
      </c>
      <c r="F91" s="176" t="s">
        <v>587</v>
      </c>
      <c r="G91" s="176" t="str">
        <f t="shared" si="7"/>
        <v>TEMU9096457</v>
      </c>
      <c r="H91" s="178" t="s">
        <v>134</v>
      </c>
      <c r="I91" s="179" t="s">
        <v>729</v>
      </c>
      <c r="J91" s="179" t="s">
        <v>730</v>
      </c>
      <c r="K91" s="179" t="s">
        <v>731</v>
      </c>
      <c r="L91" s="180" t="s">
        <v>728</v>
      </c>
      <c r="M91" s="181">
        <f>IFERROR(VLOOKUP(C91,DATA!$A$11:$L$40,4,FALSE),"")</f>
        <v>13</v>
      </c>
      <c r="N91" s="182">
        <f>IFERROR(VLOOKUP(C91,DATA!$A$11:$L$40,5,FALSE),"")</f>
        <v>11</v>
      </c>
      <c r="O91" s="182">
        <f>IFERROR(VLOOKUP(C91,DATA!$A$11:$L$40,6,FALSE),"")</f>
        <v>17</v>
      </c>
      <c r="P91" s="182">
        <f>IFERROR(VLOOKUP(C91,DATA!$A$11:$L$40,7,FALSE),"")</f>
        <v>14.5</v>
      </c>
      <c r="Q91" s="183">
        <f>IFERROR(VLOOKUP(C91,DATA!$A$11:$L$40,8,FALSE),"")</f>
        <v>1350</v>
      </c>
      <c r="R91" s="176" t="str">
        <f>IFERROR(VLOOKUP(C91,DATA!$A$11:$L$40,9,FALSE),"")</f>
        <v>PLASTIC BASKETS</v>
      </c>
      <c r="S91" s="178">
        <f>IFERROR(VLOOKUP(C91,DATA!$A$11:$L$40,10,FALSE),"")</f>
        <v>9</v>
      </c>
      <c r="T91" s="184" t="str">
        <f>IFERROR(VLOOKUP(C91,DATA!$A$11:$L$40,11,FALSE),"")</f>
        <v>5%</v>
      </c>
      <c r="U91" s="179" t="str">
        <f>IFERROR(VLOOKUP(C91,DATA!$A$11:$L$40,12,FALSE),"")</f>
        <v>SAMBA SUPPLY CHAIN (SHANGHAI) CO., LTD</v>
      </c>
      <c r="V91" s="176" t="s">
        <v>190</v>
      </c>
      <c r="W91" s="176" t="s">
        <v>198</v>
      </c>
      <c r="X91" s="176" t="s">
        <v>192</v>
      </c>
      <c r="Y91" s="176" t="s">
        <v>231</v>
      </c>
      <c r="Z91" s="177">
        <v>45439</v>
      </c>
      <c r="AA91" s="177" t="s">
        <v>722</v>
      </c>
      <c r="AB91" s="185">
        <v>45444</v>
      </c>
      <c r="AC91" s="185">
        <v>45447</v>
      </c>
      <c r="AD91" s="176" t="s">
        <v>24</v>
      </c>
      <c r="AE91" s="176" t="s">
        <v>723</v>
      </c>
      <c r="AF91" s="186" t="s">
        <v>387</v>
      </c>
      <c r="AG91" s="186" t="s">
        <v>732</v>
      </c>
      <c r="AH91" s="186" t="s">
        <v>733</v>
      </c>
      <c r="AI91" s="186" t="s">
        <v>734</v>
      </c>
      <c r="AJ91" s="186" t="s">
        <v>197</v>
      </c>
      <c r="AK91" s="187">
        <v>45439</v>
      </c>
      <c r="AL91" s="187">
        <v>45441</v>
      </c>
      <c r="AM91" s="187"/>
      <c r="AN91" s="188"/>
      <c r="AO91" s="188"/>
      <c r="AP91" s="188">
        <f t="shared" si="5"/>
        <v>0</v>
      </c>
      <c r="AQ91" s="59"/>
    </row>
    <row r="92" spans="1:43" ht="18" customHeight="1">
      <c r="A92" s="245" t="s">
        <v>735</v>
      </c>
      <c r="B92" s="246">
        <v>45584</v>
      </c>
      <c r="C92" s="245" t="s">
        <v>858</v>
      </c>
      <c r="D92" s="247">
        <v>1</v>
      </c>
      <c r="E92" s="245" t="s">
        <v>859</v>
      </c>
      <c r="F92" s="245" t="s">
        <v>860</v>
      </c>
      <c r="G92" s="245" t="str">
        <f>J92</f>
        <v>SZLU9368362</v>
      </c>
      <c r="H92" s="245" t="str">
        <f>IFERROR(VLOOKUP(C92,DATA!$A$11:$L$64,3,FALSE),"")</f>
        <v>FRESH LONGAN</v>
      </c>
      <c r="I92" s="32" t="s">
        <v>862</v>
      </c>
      <c r="J92" s="32" t="s">
        <v>861</v>
      </c>
      <c r="K92" s="32" t="s">
        <v>863</v>
      </c>
      <c r="L92" s="62" t="s">
        <v>735</v>
      </c>
      <c r="M92" s="191">
        <f>IFERROR(VLOOKUP(C92,DATA!$A$11:$L$71,4,FALSE),"")</f>
        <v>1.2</v>
      </c>
      <c r="N92" s="192">
        <f>IFERROR(VLOOKUP(C92,DATA!$A$11:$L$71,5,FALSE),"")</f>
        <v>1.1200000000000001</v>
      </c>
      <c r="O92" s="192">
        <f>IFERROR(VLOOKUP(C92,DATA!$A$11:$L$71,6,FALSE),"")</f>
        <v>13</v>
      </c>
      <c r="P92" s="192">
        <f>IFERROR(VLOOKUP(C92,DATA!$A$11:$L$71,7,FALSE),"")</f>
        <v>11.5</v>
      </c>
      <c r="Q92" s="193">
        <f>IFERROR(VLOOKUP(C92,DATA!$A$11:$L$71,8,FALSE),"")</f>
        <v>2200</v>
      </c>
      <c r="R92" s="194" t="str">
        <f>IFERROR(VLOOKUP(C92,DATA!$A$11:$L$71,9,FALSE),"")</f>
        <v>PLASTIC BASKETS</v>
      </c>
      <c r="S92" s="195">
        <f>IFERROR(VLOOKUP(C92,DATA!$A$11:$L$71,10,FALSE),"")</f>
        <v>2</v>
      </c>
      <c r="T92" s="196" t="str">
        <f>IFERROR(VLOOKUP(C92,DATA!$A$11:$L$71,11,FALSE),"")</f>
        <v>15CMH(2%)</v>
      </c>
      <c r="U92" s="32" t="str">
        <f>IFERROR(VLOOKUP(C92,DATA!$A$11:$L$71,12,FALSE),"")</f>
        <v>BEIJING JUNYAO INTERNATIONAL</v>
      </c>
      <c r="V92" s="6" t="s">
        <v>190</v>
      </c>
      <c r="W92" s="6" t="s">
        <v>686</v>
      </c>
      <c r="X92" s="6" t="s">
        <v>192</v>
      </c>
      <c r="Y92" s="6" t="s">
        <v>864</v>
      </c>
      <c r="Z92" s="60">
        <v>45584</v>
      </c>
      <c r="AA92" s="60" t="s">
        <v>865</v>
      </c>
      <c r="AB92" s="64">
        <v>45590</v>
      </c>
      <c r="AC92" s="64">
        <v>45594</v>
      </c>
      <c r="AD92" s="6" t="s">
        <v>13</v>
      </c>
      <c r="AE92" s="6" t="s">
        <v>866</v>
      </c>
      <c r="AF92" s="65" t="s">
        <v>867</v>
      </c>
      <c r="AG92" s="65" t="s">
        <v>868</v>
      </c>
      <c r="AH92" s="65" t="s">
        <v>869</v>
      </c>
      <c r="AI92" s="65" t="s">
        <v>870</v>
      </c>
      <c r="AJ92" s="65" t="s">
        <v>197</v>
      </c>
      <c r="AK92" s="66">
        <v>45584</v>
      </c>
      <c r="AL92" s="66">
        <v>45589</v>
      </c>
      <c r="AM92" s="66"/>
      <c r="AN92" s="67"/>
      <c r="AO92" s="67"/>
      <c r="AP92" s="67">
        <f t="shared" si="5"/>
        <v>0</v>
      </c>
      <c r="AQ92" s="59"/>
    </row>
    <row r="93" spans="1:43" ht="18" customHeight="1">
      <c r="A93" s="245" t="s">
        <v>736</v>
      </c>
      <c r="B93" s="246">
        <v>45587</v>
      </c>
      <c r="C93" s="248" t="s">
        <v>880</v>
      </c>
      <c r="D93" s="247">
        <v>2</v>
      </c>
      <c r="E93" s="245" t="s">
        <v>859</v>
      </c>
      <c r="F93" s="245" t="s">
        <v>860</v>
      </c>
      <c r="G93" s="247" t="s">
        <v>872</v>
      </c>
      <c r="H93" s="245" t="str">
        <f>IFERROR(VLOOKUP(C93,DATA!$A$11:$L$64,3,FALSE),"")</f>
        <v>FRESH LONGAN</v>
      </c>
      <c r="I93" s="32" t="s">
        <v>873</v>
      </c>
      <c r="J93" s="32" t="s">
        <v>872</v>
      </c>
      <c r="K93" s="32" t="s">
        <v>874</v>
      </c>
      <c r="L93" s="62" t="s">
        <v>736</v>
      </c>
      <c r="M93" s="191">
        <f>IFERROR(VLOOKUP(C93,DATA!$A$11:$L$71,4,FALSE),"")</f>
        <v>1.2</v>
      </c>
      <c r="N93" s="192">
        <f>IFERROR(VLOOKUP(C93,DATA!$A$11:$L$71,5,FALSE),"")</f>
        <v>1.1200000000000001</v>
      </c>
      <c r="O93" s="192">
        <f>IFERROR(VLOOKUP(C93,DATA!$A$11:$L$71,6,FALSE),"")</f>
        <v>13</v>
      </c>
      <c r="P93" s="192">
        <f>IFERROR(VLOOKUP(C93,DATA!$A$11:$L$71,7,FALSE),"")</f>
        <v>11.5</v>
      </c>
      <c r="Q93" s="193">
        <f>IFERROR(VLOOKUP(C93,DATA!$A$11:$L$71,8,FALSE),"")</f>
        <v>2200</v>
      </c>
      <c r="R93" s="194" t="str">
        <f>IFERROR(VLOOKUP(C93,DATA!$A$11:$L$71,9,FALSE),"")</f>
        <v>PLASTIC BASKETS</v>
      </c>
      <c r="S93" s="195">
        <f>IFERROR(VLOOKUP(C93,DATA!$A$11:$L$71,10,FALSE),"")</f>
        <v>2</v>
      </c>
      <c r="T93" s="196" t="str">
        <f>IFERROR(VLOOKUP(C93,DATA!$A$11:$L$71,11,FALSE),"")</f>
        <v>10%</v>
      </c>
      <c r="U93" s="32" t="str">
        <f>IFERROR(VLOOKUP(C93,DATA!$A$11:$L$71,12,FALSE),"")</f>
        <v>BEIJING JUNYAO INTERNATIONAL</v>
      </c>
      <c r="V93" s="6" t="s">
        <v>190</v>
      </c>
      <c r="W93" s="6" t="s">
        <v>875</v>
      </c>
      <c r="X93" s="6" t="s">
        <v>192</v>
      </c>
      <c r="Y93" s="6" t="s">
        <v>193</v>
      </c>
      <c r="Z93" s="60">
        <v>45587</v>
      </c>
      <c r="AA93" s="60" t="s">
        <v>879</v>
      </c>
      <c r="AB93" s="64">
        <v>45594</v>
      </c>
      <c r="AC93" s="64">
        <v>45599</v>
      </c>
      <c r="AD93" s="6" t="s">
        <v>13</v>
      </c>
      <c r="AE93" s="6" t="s">
        <v>899</v>
      </c>
      <c r="AF93" s="65" t="s">
        <v>867</v>
      </c>
      <c r="AG93" s="65" t="s">
        <v>876</v>
      </c>
      <c r="AH93" s="65" t="s">
        <v>877</v>
      </c>
      <c r="AI93" s="65" t="s">
        <v>878</v>
      </c>
      <c r="AJ93" s="65" t="s">
        <v>197</v>
      </c>
      <c r="AK93" s="66">
        <v>45587</v>
      </c>
      <c r="AL93" s="66">
        <v>45593</v>
      </c>
      <c r="AM93" s="66"/>
      <c r="AN93" s="67"/>
      <c r="AO93" s="67"/>
      <c r="AP93" s="67">
        <f t="shared" si="5"/>
        <v>0</v>
      </c>
      <c r="AQ93" s="59"/>
    </row>
    <row r="94" spans="1:43" ht="18" customHeight="1">
      <c r="A94" s="245" t="s">
        <v>737</v>
      </c>
      <c r="B94" s="246">
        <v>45591</v>
      </c>
      <c r="C94" s="248" t="s">
        <v>880</v>
      </c>
      <c r="D94" s="254">
        <v>3</v>
      </c>
      <c r="E94" s="245" t="s">
        <v>859</v>
      </c>
      <c r="F94" s="245" t="s">
        <v>860</v>
      </c>
      <c r="G94" s="247" t="s">
        <v>881</v>
      </c>
      <c r="H94" s="245" t="str">
        <f>IFERROR(VLOOKUP(C94,DATA!$A$11:$L$64,3,FALSE),"")</f>
        <v>FRESH LONGAN</v>
      </c>
      <c r="I94" s="32" t="s">
        <v>882</v>
      </c>
      <c r="J94" s="32" t="s">
        <v>881</v>
      </c>
      <c r="K94" s="32" t="s">
        <v>883</v>
      </c>
      <c r="L94" s="62" t="s">
        <v>737</v>
      </c>
      <c r="M94" s="191">
        <f>IFERROR(VLOOKUP(C94,DATA!$A$11:$L$71,4,FALSE),"")</f>
        <v>1.2</v>
      </c>
      <c r="N94" s="192">
        <f>IFERROR(VLOOKUP(C94,DATA!$A$11:$L$71,5,FALSE),"")</f>
        <v>1.1200000000000001</v>
      </c>
      <c r="O94" s="192">
        <f>IFERROR(VLOOKUP(C94,DATA!$A$11:$L$71,6,FALSE),"")</f>
        <v>13</v>
      </c>
      <c r="P94" s="192">
        <f>IFERROR(VLOOKUP(C94,DATA!$A$11:$L$71,7,FALSE),"")</f>
        <v>11.5</v>
      </c>
      <c r="Q94" s="193">
        <f>IFERROR(VLOOKUP(C94,DATA!$A$11:$L$71,8,FALSE),"")</f>
        <v>2200</v>
      </c>
      <c r="R94" s="194" t="str">
        <f>IFERROR(VLOOKUP(C94,DATA!$A$11:$L$71,9,FALSE),"")</f>
        <v>PLASTIC BASKETS</v>
      </c>
      <c r="S94" s="195">
        <f>IFERROR(VLOOKUP(C94,DATA!$A$11:$L$71,10,FALSE),"")</f>
        <v>2</v>
      </c>
      <c r="T94" s="196" t="str">
        <f>IFERROR(VLOOKUP(C94,DATA!$A$11:$L$71,11,FALSE),"")</f>
        <v>10%</v>
      </c>
      <c r="U94" s="32" t="str">
        <f>IFERROR(VLOOKUP(C94,DATA!$A$11:$L$71,12,FALSE),"")</f>
        <v>BEIJING JUNYAO INTERNATIONAL</v>
      </c>
      <c r="V94" s="6" t="s">
        <v>190</v>
      </c>
      <c r="W94" s="6" t="s">
        <v>884</v>
      </c>
      <c r="X94" s="6" t="s">
        <v>192</v>
      </c>
      <c r="Y94" s="6" t="s">
        <v>571</v>
      </c>
      <c r="Z94" s="60">
        <v>45591</v>
      </c>
      <c r="AA94" s="60" t="s">
        <v>885</v>
      </c>
      <c r="AB94" s="64">
        <v>45598</v>
      </c>
      <c r="AC94" s="64">
        <v>45603</v>
      </c>
      <c r="AD94" s="6" t="s">
        <v>13</v>
      </c>
      <c r="AE94" s="6" t="s">
        <v>886</v>
      </c>
      <c r="AF94" s="65" t="s">
        <v>867</v>
      </c>
      <c r="AG94" s="65" t="s">
        <v>887</v>
      </c>
      <c r="AH94" s="65" t="s">
        <v>888</v>
      </c>
      <c r="AI94" s="65" t="s">
        <v>889</v>
      </c>
      <c r="AJ94" s="65" t="s">
        <v>197</v>
      </c>
      <c r="AK94" s="66">
        <v>45591</v>
      </c>
      <c r="AL94" s="66">
        <v>45596</v>
      </c>
      <c r="AM94" s="66"/>
      <c r="AN94" s="67"/>
      <c r="AO94" s="67"/>
      <c r="AP94" s="67">
        <f t="shared" si="5"/>
        <v>0</v>
      </c>
      <c r="AQ94" s="59"/>
    </row>
    <row r="95" spans="1:43" ht="18" customHeight="1">
      <c r="A95" s="245" t="s">
        <v>738</v>
      </c>
      <c r="B95" s="246">
        <v>45593</v>
      </c>
      <c r="C95" s="248" t="s">
        <v>880</v>
      </c>
      <c r="D95" s="254">
        <v>4</v>
      </c>
      <c r="E95" s="245" t="s">
        <v>859</v>
      </c>
      <c r="F95" s="245" t="s">
        <v>860</v>
      </c>
      <c r="G95" s="247" t="s">
        <v>891</v>
      </c>
      <c r="H95" s="245" t="str">
        <f>IFERROR(VLOOKUP(C95,DATA!$A$11:$L$64,3,FALSE),"")</f>
        <v>FRESH LONGAN</v>
      </c>
      <c r="I95" s="32" t="s">
        <v>892</v>
      </c>
      <c r="J95" s="32" t="s">
        <v>891</v>
      </c>
      <c r="K95" s="32" t="s">
        <v>893</v>
      </c>
      <c r="L95" s="62" t="s">
        <v>738</v>
      </c>
      <c r="M95" s="191">
        <f>IFERROR(VLOOKUP(C95,DATA!$A$11:$L$71,4,FALSE),"")</f>
        <v>1.2</v>
      </c>
      <c r="N95" s="192">
        <f>IFERROR(VLOOKUP(C95,DATA!$A$11:$L$71,5,FALSE),"")</f>
        <v>1.1200000000000001</v>
      </c>
      <c r="O95" s="192">
        <f>IFERROR(VLOOKUP(C95,DATA!$A$11:$L$71,6,FALSE),"")</f>
        <v>13</v>
      </c>
      <c r="P95" s="192">
        <f>IFERROR(VLOOKUP(C95,DATA!$A$11:$L$71,7,FALSE),"")</f>
        <v>11.5</v>
      </c>
      <c r="Q95" s="193">
        <f>IFERROR(VLOOKUP(C95,DATA!$A$11:$L$71,8,FALSE),"")</f>
        <v>2200</v>
      </c>
      <c r="R95" s="194" t="str">
        <f>IFERROR(VLOOKUP(C95,DATA!$A$11:$L$71,9,FALSE),"")</f>
        <v>PLASTIC BASKETS</v>
      </c>
      <c r="S95" s="195">
        <f>IFERROR(VLOOKUP(C95,DATA!$A$11:$L$71,10,FALSE),"")</f>
        <v>2</v>
      </c>
      <c r="T95" s="196" t="str">
        <f>IFERROR(VLOOKUP(C95,DATA!$A$11:$L$71,11,FALSE),"")</f>
        <v>10%</v>
      </c>
      <c r="U95" s="32" t="str">
        <f>IFERROR(VLOOKUP(C95,DATA!$A$11:$L$71,12,FALSE),"")</f>
        <v>BEIJING JUNYAO INTERNATIONAL</v>
      </c>
      <c r="V95" s="6" t="s">
        <v>190</v>
      </c>
      <c r="W95" s="6" t="s">
        <v>875</v>
      </c>
      <c r="X95" s="6" t="s">
        <v>192</v>
      </c>
      <c r="Y95" s="6" t="s">
        <v>193</v>
      </c>
      <c r="Z95" s="60">
        <v>45593</v>
      </c>
      <c r="AA95" s="60" t="s">
        <v>894</v>
      </c>
      <c r="AB95" s="64">
        <v>45600</v>
      </c>
      <c r="AC95" s="64">
        <v>45605</v>
      </c>
      <c r="AD95" s="6" t="s">
        <v>13</v>
      </c>
      <c r="AE95" s="6" t="s">
        <v>895</v>
      </c>
      <c r="AF95" s="65" t="s">
        <v>867</v>
      </c>
      <c r="AG95" s="65" t="s">
        <v>896</v>
      </c>
      <c r="AH95" s="65" t="s">
        <v>897</v>
      </c>
      <c r="AI95" s="65" t="s">
        <v>898</v>
      </c>
      <c r="AJ95" s="65" t="s">
        <v>197</v>
      </c>
      <c r="AK95" s="66">
        <v>45593</v>
      </c>
      <c r="AL95" s="66">
        <v>45598</v>
      </c>
      <c r="AM95" s="66"/>
      <c r="AN95" s="67"/>
      <c r="AO95" s="67"/>
      <c r="AP95" s="67">
        <f t="shared" si="5"/>
        <v>0</v>
      </c>
      <c r="AQ95" s="59"/>
    </row>
    <row r="96" spans="1:43" ht="18" customHeight="1">
      <c r="A96" s="245" t="s">
        <v>739</v>
      </c>
      <c r="B96" s="246">
        <v>45595</v>
      </c>
      <c r="C96" s="248" t="s">
        <v>880</v>
      </c>
      <c r="D96" s="254">
        <v>5</v>
      </c>
      <c r="E96" s="245" t="s">
        <v>859</v>
      </c>
      <c r="F96" s="245" t="s">
        <v>860</v>
      </c>
      <c r="G96" s="247" t="s">
        <v>900</v>
      </c>
      <c r="H96" s="245" t="str">
        <f>IFERROR(VLOOKUP(C96,DATA!$A$11:$L$64,3,FALSE),"")</f>
        <v>FRESH LONGAN</v>
      </c>
      <c r="I96" s="32" t="s">
        <v>901</v>
      </c>
      <c r="J96" s="32" t="s">
        <v>900</v>
      </c>
      <c r="K96" s="243" t="s">
        <v>902</v>
      </c>
      <c r="L96" s="62" t="s">
        <v>739</v>
      </c>
      <c r="M96" s="191">
        <f>IFERROR(VLOOKUP(C96,DATA!$A$11:$L$71,4,FALSE),"")</f>
        <v>1.2</v>
      </c>
      <c r="N96" s="192">
        <f>IFERROR(VLOOKUP(C96,DATA!$A$11:$L$71,5,FALSE),"")</f>
        <v>1.1200000000000001</v>
      </c>
      <c r="O96" s="192">
        <f>IFERROR(VLOOKUP(C96,DATA!$A$11:$L$71,6,FALSE),"")</f>
        <v>13</v>
      </c>
      <c r="P96" s="192">
        <f>IFERROR(VLOOKUP(C96,DATA!$A$11:$L$71,7,FALSE),"")</f>
        <v>11.5</v>
      </c>
      <c r="Q96" s="193">
        <f>IFERROR(VLOOKUP(C96,DATA!$A$11:$L$71,8,FALSE),"")</f>
        <v>2200</v>
      </c>
      <c r="R96" s="194" t="str">
        <f>IFERROR(VLOOKUP(C96,DATA!$A$11:$L$71,9,FALSE),"")</f>
        <v>PLASTIC BASKETS</v>
      </c>
      <c r="S96" s="195">
        <f>IFERROR(VLOOKUP(C96,DATA!$A$11:$L$71,10,FALSE),"")</f>
        <v>2</v>
      </c>
      <c r="T96" s="196" t="str">
        <f>IFERROR(VLOOKUP(C96,DATA!$A$11:$L$71,11,FALSE),"")</f>
        <v>10%</v>
      </c>
      <c r="U96" s="32" t="str">
        <f>IFERROR(VLOOKUP(C96,DATA!$A$11:$L$71,12,FALSE),"")</f>
        <v>BEIJING JUNYAO INTERNATIONAL</v>
      </c>
      <c r="V96" s="6" t="s">
        <v>190</v>
      </c>
      <c r="W96" s="6" t="s">
        <v>875</v>
      </c>
      <c r="X96" s="6" t="s">
        <v>192</v>
      </c>
      <c r="Y96" s="6" t="s">
        <v>193</v>
      </c>
      <c r="Z96" s="60">
        <v>45593</v>
      </c>
      <c r="AA96" s="60" t="s">
        <v>894</v>
      </c>
      <c r="AB96" s="64">
        <v>45600</v>
      </c>
      <c r="AC96" s="64">
        <v>45605</v>
      </c>
      <c r="AD96" s="6" t="s">
        <v>13</v>
      </c>
      <c r="AE96" s="6" t="s">
        <v>895</v>
      </c>
      <c r="AF96" s="244" t="s">
        <v>867</v>
      </c>
      <c r="AG96" s="244" t="s">
        <v>903</v>
      </c>
      <c r="AH96" s="244" t="s">
        <v>904</v>
      </c>
      <c r="AI96" s="244" t="s">
        <v>905</v>
      </c>
      <c r="AJ96" s="65" t="s">
        <v>197</v>
      </c>
      <c r="AK96" s="66">
        <v>45595</v>
      </c>
      <c r="AL96" s="66">
        <v>45599</v>
      </c>
      <c r="AM96" s="66"/>
      <c r="AN96" s="67"/>
      <c r="AO96" s="67"/>
      <c r="AP96" s="67">
        <f t="shared" si="5"/>
        <v>0</v>
      </c>
      <c r="AQ96" s="59"/>
    </row>
    <row r="97" spans="1:48" ht="18" customHeight="1">
      <c r="A97" s="245" t="s">
        <v>740</v>
      </c>
      <c r="B97" s="246">
        <v>45596</v>
      </c>
      <c r="C97" s="248" t="s">
        <v>880</v>
      </c>
      <c r="D97" s="254">
        <v>6</v>
      </c>
      <c r="E97" s="245" t="s">
        <v>859</v>
      </c>
      <c r="F97" s="245" t="s">
        <v>860</v>
      </c>
      <c r="G97" s="245" t="s">
        <v>907</v>
      </c>
      <c r="H97" s="245" t="str">
        <f>IFERROR(VLOOKUP(C97,DATA!$A$11:$L$64,3,FALSE),"")</f>
        <v>FRESH LONGAN</v>
      </c>
      <c r="I97" s="32" t="s">
        <v>906</v>
      </c>
      <c r="J97" s="32" t="s">
        <v>907</v>
      </c>
      <c r="K97" s="32" t="s">
        <v>908</v>
      </c>
      <c r="L97" s="62" t="s">
        <v>740</v>
      </c>
      <c r="M97" s="191">
        <f>IFERROR(VLOOKUP(C97,DATA!$A$11:$L$71,4,FALSE),"")</f>
        <v>1.2</v>
      </c>
      <c r="N97" s="192">
        <f>IFERROR(VLOOKUP(C97,DATA!$A$11:$L$71,5,FALSE),"")</f>
        <v>1.1200000000000001</v>
      </c>
      <c r="O97" s="192">
        <f>IFERROR(VLOOKUP(C97,DATA!$A$11:$L$71,6,FALSE),"")</f>
        <v>13</v>
      </c>
      <c r="P97" s="192">
        <f>IFERROR(VLOOKUP(C97,DATA!$A$11:$L$71,7,FALSE),"")</f>
        <v>11.5</v>
      </c>
      <c r="Q97" s="193">
        <f>IFERROR(VLOOKUP(C97,DATA!$A$11:$L$71,8,FALSE),"")</f>
        <v>2200</v>
      </c>
      <c r="R97" s="194" t="str">
        <f>IFERROR(VLOOKUP(C97,DATA!$A$11:$L$71,9,FALSE),"")</f>
        <v>PLASTIC BASKETS</v>
      </c>
      <c r="S97" s="195">
        <f>IFERROR(VLOOKUP(C97,DATA!$A$11:$L$71,10,FALSE),"")</f>
        <v>2</v>
      </c>
      <c r="T97" s="196" t="str">
        <f>IFERROR(VLOOKUP(C97,DATA!$A$11:$L$71,11,FALSE),"")</f>
        <v>10%</v>
      </c>
      <c r="U97" s="32" t="str">
        <f>IFERROR(VLOOKUP(C97,DATA!$A$11:$L$71,12,FALSE),"")</f>
        <v>BEIJING JUNYAO INTERNATIONAL</v>
      </c>
      <c r="V97" s="6" t="s">
        <v>190</v>
      </c>
      <c r="W97" s="6" t="s">
        <v>909</v>
      </c>
      <c r="X97" s="6" t="s">
        <v>192</v>
      </c>
      <c r="Y97" s="6" t="s">
        <v>912</v>
      </c>
      <c r="Z97" s="60">
        <v>45596</v>
      </c>
      <c r="AA97" s="60" t="s">
        <v>911</v>
      </c>
      <c r="AB97" s="64">
        <v>45605</v>
      </c>
      <c r="AC97" s="64">
        <v>45610</v>
      </c>
      <c r="AD97" s="6" t="s">
        <v>13</v>
      </c>
      <c r="AE97" s="6" t="s">
        <v>910</v>
      </c>
      <c r="AF97" s="65" t="s">
        <v>867</v>
      </c>
      <c r="AG97" s="65" t="s">
        <v>876</v>
      </c>
      <c r="AH97" s="65" t="s">
        <v>877</v>
      </c>
      <c r="AI97" s="65" t="s">
        <v>878</v>
      </c>
      <c r="AJ97" s="65" t="s">
        <v>197</v>
      </c>
      <c r="AK97" s="66">
        <v>45596</v>
      </c>
      <c r="AL97" s="66">
        <v>45601</v>
      </c>
      <c r="AM97" s="66"/>
      <c r="AN97" s="67"/>
      <c r="AO97" s="67"/>
      <c r="AP97" s="67">
        <f t="shared" si="5"/>
        <v>0</v>
      </c>
      <c r="AQ97" s="59"/>
    </row>
    <row r="98" spans="1:48" ht="18" customHeight="1">
      <c r="A98" s="249" t="s">
        <v>741</v>
      </c>
      <c r="B98" s="250">
        <v>45598</v>
      </c>
      <c r="C98" s="251" t="s">
        <v>880</v>
      </c>
      <c r="D98" s="252">
        <v>7</v>
      </c>
      <c r="E98" s="249" t="s">
        <v>859</v>
      </c>
      <c r="F98" s="249" t="s">
        <v>860</v>
      </c>
      <c r="G98" s="253" t="s">
        <v>925</v>
      </c>
      <c r="H98" s="249" t="str">
        <f>IFERROR(VLOOKUP(C98,DATA!$A$11:$L$64,3,FALSE),"")</f>
        <v>FRESH LONGAN</v>
      </c>
      <c r="I98" s="32" t="s">
        <v>913</v>
      </c>
      <c r="J98" s="174" t="s">
        <v>925</v>
      </c>
      <c r="K98" s="32" t="s">
        <v>914</v>
      </c>
      <c r="L98" s="62" t="s">
        <v>741</v>
      </c>
      <c r="M98" s="191">
        <f>IFERROR(VLOOKUP(C98,DATA!$A$11:$L$71,4,FALSE),"")</f>
        <v>1.2</v>
      </c>
      <c r="N98" s="192">
        <f>IFERROR(VLOOKUP(C98,DATA!$A$11:$L$71,5,FALSE),"")</f>
        <v>1.1200000000000001</v>
      </c>
      <c r="O98" s="192">
        <f>IFERROR(VLOOKUP(C98,DATA!$A$11:$L$71,6,FALSE),"")</f>
        <v>13</v>
      </c>
      <c r="P98" s="192">
        <f>IFERROR(VLOOKUP(C98,DATA!$A$11:$L$71,7,FALSE),"")</f>
        <v>11.5</v>
      </c>
      <c r="Q98" s="193">
        <f>IFERROR(VLOOKUP(C98,DATA!$A$11:$L$71,8,FALSE),"")</f>
        <v>2200</v>
      </c>
      <c r="R98" s="194" t="str">
        <f>IFERROR(VLOOKUP(C98,DATA!$A$11:$L$71,9,FALSE),"")</f>
        <v>PLASTIC BASKETS</v>
      </c>
      <c r="S98" s="195">
        <f>IFERROR(VLOOKUP(C98,DATA!$A$11:$L$71,10,FALSE),"")</f>
        <v>2</v>
      </c>
      <c r="T98" s="196" t="str">
        <f>IFERROR(VLOOKUP(C98,DATA!$A$11:$L$71,11,FALSE),"")</f>
        <v>10%</v>
      </c>
      <c r="U98" s="32" t="str">
        <f>IFERROR(VLOOKUP(C98,DATA!$A$11:$L$71,12,FALSE),"")</f>
        <v>BEIJING JUNYAO INTERNATIONAL</v>
      </c>
      <c r="V98" s="6" t="s">
        <v>190</v>
      </c>
      <c r="W98" s="6" t="s">
        <v>915</v>
      </c>
      <c r="X98" s="6" t="s">
        <v>192</v>
      </c>
      <c r="Y98" s="6" t="s">
        <v>193</v>
      </c>
      <c r="Z98" s="60">
        <v>45598</v>
      </c>
      <c r="AA98" s="60" t="s">
        <v>934</v>
      </c>
      <c r="AB98" s="255">
        <v>45612</v>
      </c>
      <c r="AC98" s="64">
        <v>45614</v>
      </c>
      <c r="AD98" s="6" t="s">
        <v>13</v>
      </c>
      <c r="AE98" s="274" t="s">
        <v>968</v>
      </c>
      <c r="AF98" s="65" t="s">
        <v>867</v>
      </c>
      <c r="AG98" s="65" t="s">
        <v>950</v>
      </c>
      <c r="AH98" s="65" t="s">
        <v>916</v>
      </c>
      <c r="AI98" s="65" t="s">
        <v>917</v>
      </c>
      <c r="AJ98" s="65" t="s">
        <v>197</v>
      </c>
      <c r="AK98" s="66">
        <v>45598</v>
      </c>
      <c r="AL98" s="66">
        <v>45603</v>
      </c>
      <c r="AM98" s="66"/>
      <c r="AN98" s="67"/>
      <c r="AO98" s="67"/>
      <c r="AP98" s="67">
        <f t="shared" si="5"/>
        <v>0</v>
      </c>
      <c r="AQ98" s="59"/>
    </row>
    <row r="99" spans="1:48" ht="18" customHeight="1">
      <c r="A99" s="249" t="s">
        <v>742</v>
      </c>
      <c r="B99" s="250">
        <v>45600</v>
      </c>
      <c r="C99" s="251" t="s">
        <v>880</v>
      </c>
      <c r="D99" s="252">
        <v>8</v>
      </c>
      <c r="E99" s="249" t="s">
        <v>859</v>
      </c>
      <c r="F99" s="249" t="s">
        <v>860</v>
      </c>
      <c r="G99" s="253" t="s">
        <v>924</v>
      </c>
      <c r="H99" s="249" t="str">
        <f>IFERROR(VLOOKUP(C99,DATA!$A$11:$L$64,3,FALSE),"")</f>
        <v>FRESH LONGAN</v>
      </c>
      <c r="I99" s="61" t="s">
        <v>918</v>
      </c>
      <c r="J99" s="32" t="s">
        <v>924</v>
      </c>
      <c r="K99" s="32" t="s">
        <v>919</v>
      </c>
      <c r="L99" s="62" t="s">
        <v>742</v>
      </c>
      <c r="M99" s="191">
        <f>IFERROR(VLOOKUP(C99,DATA!$A$11:$L$71,4,FALSE),"")</f>
        <v>1.2</v>
      </c>
      <c r="N99" s="192">
        <f>IFERROR(VLOOKUP(C99,DATA!$A$11:$L$71,5,FALSE),"")</f>
        <v>1.1200000000000001</v>
      </c>
      <c r="O99" s="192">
        <f>IFERROR(VLOOKUP(C99,DATA!$A$11:$L$71,6,FALSE),"")</f>
        <v>13</v>
      </c>
      <c r="P99" s="192">
        <f>IFERROR(VLOOKUP(C99,DATA!$A$11:$L$71,7,FALSE),"")</f>
        <v>11.5</v>
      </c>
      <c r="Q99" s="193">
        <f>IFERROR(VLOOKUP(C99,DATA!$A$11:$L$71,8,FALSE),"")</f>
        <v>2200</v>
      </c>
      <c r="R99" s="194" t="str">
        <f>IFERROR(VLOOKUP(C99,DATA!$A$11:$L$71,9,FALSE),"")</f>
        <v>PLASTIC BASKETS</v>
      </c>
      <c r="S99" s="195">
        <f>IFERROR(VLOOKUP(C99,DATA!$A$11:$L$71,10,FALSE),"")</f>
        <v>2</v>
      </c>
      <c r="T99" s="196" t="str">
        <f>IFERROR(VLOOKUP(C99,DATA!$A$11:$L$71,11,FALSE),"")</f>
        <v>10%</v>
      </c>
      <c r="U99" s="32" t="str">
        <f>IFERROR(VLOOKUP(C99,DATA!$A$11:$L$71,12,FALSE),"")</f>
        <v>BEIJING JUNYAO INTERNATIONAL</v>
      </c>
      <c r="V99" s="6" t="s">
        <v>190</v>
      </c>
      <c r="W99" s="6" t="s">
        <v>191</v>
      </c>
      <c r="X99" s="6" t="s">
        <v>192</v>
      </c>
      <c r="Y99" s="6" t="s">
        <v>193</v>
      </c>
      <c r="Z99" s="60">
        <v>45600</v>
      </c>
      <c r="AA99" s="60" t="s">
        <v>911</v>
      </c>
      <c r="AB99" s="255">
        <v>45607</v>
      </c>
      <c r="AC99" s="64">
        <v>45609</v>
      </c>
      <c r="AD99" s="6" t="s">
        <v>13</v>
      </c>
      <c r="AE99" s="6" t="s">
        <v>920</v>
      </c>
      <c r="AF99" s="65" t="s">
        <v>867</v>
      </c>
      <c r="AG99" s="65" t="s">
        <v>922</v>
      </c>
      <c r="AH99" s="65" t="s">
        <v>921</v>
      </c>
      <c r="AI99" s="65" t="s">
        <v>923</v>
      </c>
      <c r="AJ99" s="65" t="s">
        <v>197</v>
      </c>
      <c r="AK99" s="66">
        <v>45600</v>
      </c>
      <c r="AL99" s="66">
        <v>45603</v>
      </c>
      <c r="AM99" s="66"/>
      <c r="AN99" s="67"/>
      <c r="AO99" s="67"/>
      <c r="AP99" s="67">
        <f t="shared" si="5"/>
        <v>0</v>
      </c>
      <c r="AQ99" s="59"/>
    </row>
    <row r="100" spans="1:48" ht="18" customHeight="1">
      <c r="A100" s="6" t="s">
        <v>743</v>
      </c>
      <c r="B100" s="60">
        <v>45602</v>
      </c>
      <c r="C100" s="35" t="s">
        <v>880</v>
      </c>
      <c r="D100" s="242">
        <v>9</v>
      </c>
      <c r="E100" s="6" t="s">
        <v>859</v>
      </c>
      <c r="F100" s="6" t="s">
        <v>860</v>
      </c>
      <c r="G100" s="30" t="s">
        <v>926</v>
      </c>
      <c r="H100" s="6" t="str">
        <f>IFERROR(VLOOKUP(C100,DATA!$A$11:$L$64,3,FALSE),"")</f>
        <v>FRESH LONGAN</v>
      </c>
      <c r="I100" s="32" t="s">
        <v>927</v>
      </c>
      <c r="J100" s="32" t="s">
        <v>926</v>
      </c>
      <c r="K100" s="32" t="s">
        <v>928</v>
      </c>
      <c r="L100" s="62" t="s">
        <v>743</v>
      </c>
      <c r="M100" s="191">
        <f>IFERROR(VLOOKUP(C100,DATA!$A$11:$L$71,4,FALSE),"")</f>
        <v>1.2</v>
      </c>
      <c r="N100" s="192">
        <f>IFERROR(VLOOKUP(C100,DATA!$A$11:$L$71,5,FALSE),"")</f>
        <v>1.1200000000000001</v>
      </c>
      <c r="O100" s="192">
        <f>IFERROR(VLOOKUP(C100,DATA!$A$11:$L$71,6,FALSE),"")</f>
        <v>13</v>
      </c>
      <c r="P100" s="192">
        <f>IFERROR(VLOOKUP(C100,DATA!$A$11:$L$71,7,FALSE),"")</f>
        <v>11.5</v>
      </c>
      <c r="Q100" s="193">
        <f>IFERROR(VLOOKUP(C100,DATA!$A$11:$L$71,8,FALSE),"")</f>
        <v>2200</v>
      </c>
      <c r="R100" s="194" t="str">
        <f>IFERROR(VLOOKUP(C100,DATA!$A$11:$L$71,9,FALSE),"")</f>
        <v>PLASTIC BASKETS</v>
      </c>
      <c r="S100" s="195">
        <f>IFERROR(VLOOKUP(C100,DATA!$A$11:$L$71,10,FALSE),"")</f>
        <v>2</v>
      </c>
      <c r="T100" s="196" t="str">
        <f>IFERROR(VLOOKUP(C100,DATA!$A$11:$L$71,11,FALSE),"")</f>
        <v>10%</v>
      </c>
      <c r="U100" s="32" t="str">
        <f>IFERROR(VLOOKUP(C100,DATA!$A$11:$L$71,12,FALSE),"")</f>
        <v>BEIJING JUNYAO INTERNATIONAL</v>
      </c>
      <c r="V100" s="6" t="s">
        <v>190</v>
      </c>
      <c r="W100" s="6" t="s">
        <v>875</v>
      </c>
      <c r="X100" s="6" t="s">
        <v>192</v>
      </c>
      <c r="Y100" s="6" t="s">
        <v>193</v>
      </c>
      <c r="Z100" s="60">
        <v>45602</v>
      </c>
      <c r="AA100" s="60" t="s">
        <v>930</v>
      </c>
      <c r="AB100" s="64">
        <v>45609</v>
      </c>
      <c r="AC100" s="64">
        <v>45613</v>
      </c>
      <c r="AD100" s="6" t="s">
        <v>13</v>
      </c>
      <c r="AE100" s="6" t="s">
        <v>929</v>
      </c>
      <c r="AF100" s="65" t="s">
        <v>867</v>
      </c>
      <c r="AG100" s="65" t="s">
        <v>931</v>
      </c>
      <c r="AH100" s="65" t="s">
        <v>932</v>
      </c>
      <c r="AI100" s="65" t="s">
        <v>933</v>
      </c>
      <c r="AJ100" s="65" t="s">
        <v>197</v>
      </c>
      <c r="AK100" s="66">
        <v>45602</v>
      </c>
      <c r="AL100" s="66">
        <v>45606</v>
      </c>
      <c r="AM100" s="66"/>
      <c r="AN100" s="67"/>
      <c r="AO100" s="67"/>
      <c r="AP100" s="67">
        <f t="shared" si="5"/>
        <v>0</v>
      </c>
      <c r="AQ100" s="59"/>
    </row>
    <row r="101" spans="1:48" ht="18" customHeight="1">
      <c r="A101" s="6" t="s">
        <v>744</v>
      </c>
      <c r="B101" s="60">
        <v>45604</v>
      </c>
      <c r="C101" s="35" t="s">
        <v>880</v>
      </c>
      <c r="D101" s="242">
        <v>10</v>
      </c>
      <c r="E101" s="6" t="s">
        <v>859</v>
      </c>
      <c r="F101" s="6" t="s">
        <v>860</v>
      </c>
      <c r="G101" s="30" t="s">
        <v>936</v>
      </c>
      <c r="H101" s="6" t="str">
        <f>IFERROR(VLOOKUP(C101,DATA!$A$11:$L$64,3,FALSE),"")</f>
        <v>FRESH LONGAN</v>
      </c>
      <c r="I101" s="32" t="s">
        <v>935</v>
      </c>
      <c r="J101" s="32" t="s">
        <v>936</v>
      </c>
      <c r="K101" s="32" t="s">
        <v>937</v>
      </c>
      <c r="L101" s="62" t="s">
        <v>744</v>
      </c>
      <c r="M101" s="191">
        <f>IFERROR(VLOOKUP(C101,DATA!$A$11:$L$71,4,FALSE),"")</f>
        <v>1.2</v>
      </c>
      <c r="N101" s="192">
        <f>IFERROR(VLOOKUP(C101,DATA!$A$11:$L$71,5,FALSE),"")</f>
        <v>1.1200000000000001</v>
      </c>
      <c r="O101" s="192">
        <f>IFERROR(VLOOKUP(C101,DATA!$A$11:$L$71,6,FALSE),"")</f>
        <v>13</v>
      </c>
      <c r="P101" s="192">
        <f>IFERROR(VLOOKUP(C101,DATA!$A$11:$L$71,7,FALSE),"")</f>
        <v>11.5</v>
      </c>
      <c r="Q101" s="193">
        <f>IFERROR(VLOOKUP(C101,DATA!$A$11:$L$71,8,FALSE),"")</f>
        <v>2200</v>
      </c>
      <c r="R101" s="194" t="str">
        <f>IFERROR(VLOOKUP(C101,DATA!$A$11:$L$71,9,FALSE),"")</f>
        <v>PLASTIC BASKETS</v>
      </c>
      <c r="S101" s="195">
        <f>IFERROR(VLOOKUP(C101,DATA!$A$11:$L$71,10,FALSE),"")</f>
        <v>2</v>
      </c>
      <c r="T101" s="196" t="str">
        <f>IFERROR(VLOOKUP(C101,DATA!$A$11:$L$71,11,FALSE),"")</f>
        <v>10%</v>
      </c>
      <c r="U101" s="32" t="str">
        <f>IFERROR(VLOOKUP(C101,DATA!$A$11:$L$71,12,FALSE),"")</f>
        <v>BEIJING JUNYAO INTERNATIONAL</v>
      </c>
      <c r="V101" s="6" t="s">
        <v>190</v>
      </c>
      <c r="W101" s="6" t="s">
        <v>686</v>
      </c>
      <c r="X101" s="6" t="s">
        <v>192</v>
      </c>
      <c r="Y101" s="6" t="s">
        <v>193</v>
      </c>
      <c r="Z101" s="60">
        <v>45604</v>
      </c>
      <c r="AA101" s="60" t="s">
        <v>938</v>
      </c>
      <c r="AB101" s="255">
        <v>45615</v>
      </c>
      <c r="AC101" s="64">
        <v>45619</v>
      </c>
      <c r="AD101" s="6" t="s">
        <v>13</v>
      </c>
      <c r="AE101" s="274" t="s">
        <v>978</v>
      </c>
      <c r="AF101" s="65" t="s">
        <v>867</v>
      </c>
      <c r="AG101" s="65" t="s">
        <v>939</v>
      </c>
      <c r="AH101" s="65" t="s">
        <v>940</v>
      </c>
      <c r="AI101" s="65" t="s">
        <v>941</v>
      </c>
      <c r="AJ101" s="65" t="s">
        <v>197</v>
      </c>
      <c r="AK101" s="66">
        <v>45604</v>
      </c>
      <c r="AL101" s="66">
        <v>45607</v>
      </c>
      <c r="AM101" s="66"/>
      <c r="AN101" s="67"/>
      <c r="AO101" s="67"/>
      <c r="AP101" s="67">
        <f t="shared" si="5"/>
        <v>0</v>
      </c>
      <c r="AQ101" s="59"/>
    </row>
    <row r="102" spans="1:48" ht="18" customHeight="1">
      <c r="A102" s="6" t="s">
        <v>745</v>
      </c>
      <c r="B102" s="60">
        <v>45605</v>
      </c>
      <c r="C102" s="35" t="s">
        <v>880</v>
      </c>
      <c r="D102" s="111">
        <v>11</v>
      </c>
      <c r="E102" s="6" t="s">
        <v>859</v>
      </c>
      <c r="F102" s="6" t="s">
        <v>860</v>
      </c>
      <c r="G102" s="30" t="s">
        <v>947</v>
      </c>
      <c r="H102" s="6" t="str">
        <f>IFERROR(VLOOKUP(C102,DATA!$A$11:$L$64,3,FALSE),"")</f>
        <v>FRESH LONGAN</v>
      </c>
      <c r="I102" s="32" t="s">
        <v>948</v>
      </c>
      <c r="J102" s="32" t="s">
        <v>947</v>
      </c>
      <c r="K102" s="32" t="s">
        <v>949</v>
      </c>
      <c r="L102" s="62" t="s">
        <v>745</v>
      </c>
      <c r="M102" s="191">
        <f>IFERROR(VLOOKUP(C102,DATA!$A$11:$L$71,4,FALSE),"")</f>
        <v>1.2</v>
      </c>
      <c r="N102" s="192">
        <f>IFERROR(VLOOKUP(C102,DATA!$A$11:$L$71,5,FALSE),"")</f>
        <v>1.1200000000000001</v>
      </c>
      <c r="O102" s="192">
        <f>IFERROR(VLOOKUP(C102,DATA!$A$11:$L$71,6,FALSE),"")</f>
        <v>13</v>
      </c>
      <c r="P102" s="192">
        <f>IFERROR(VLOOKUP(C102,DATA!$A$11:$L$71,7,FALSE),"")</f>
        <v>11.5</v>
      </c>
      <c r="Q102" s="193">
        <f>IFERROR(VLOOKUP(C102,DATA!$A$11:$L$71,8,FALSE),"")</f>
        <v>2200</v>
      </c>
      <c r="R102" s="194" t="str">
        <f>IFERROR(VLOOKUP(C102,DATA!$A$11:$L$71,9,FALSE),"")</f>
        <v>PLASTIC BASKETS</v>
      </c>
      <c r="S102" s="195">
        <f>IFERROR(VLOOKUP(C102,DATA!$A$11:$L$71,10,FALSE),"")</f>
        <v>2</v>
      </c>
      <c r="T102" s="196" t="str">
        <f>IFERROR(VLOOKUP(C102,DATA!$A$11:$L$71,11,FALSE),"")</f>
        <v>10%</v>
      </c>
      <c r="U102" s="32" t="str">
        <f>IFERROR(VLOOKUP(C102,DATA!$A$11:$L$71,12,FALSE),"")</f>
        <v>BEIJING JUNYAO INTERNATIONAL</v>
      </c>
      <c r="V102" s="6" t="s">
        <v>190</v>
      </c>
      <c r="W102" s="6" t="s">
        <v>909</v>
      </c>
      <c r="X102" s="6" t="s">
        <v>192</v>
      </c>
      <c r="Y102" s="6" t="s">
        <v>912</v>
      </c>
      <c r="Z102" s="60">
        <v>45605</v>
      </c>
      <c r="AA102" s="60" t="s">
        <v>943</v>
      </c>
      <c r="AB102" s="64">
        <v>45612</v>
      </c>
      <c r="AC102" s="64">
        <v>45617</v>
      </c>
      <c r="AD102" s="6" t="s">
        <v>13</v>
      </c>
      <c r="AE102" s="6" t="s">
        <v>942</v>
      </c>
      <c r="AF102" s="65" t="s">
        <v>867</v>
      </c>
      <c r="AG102" s="65" t="s">
        <v>944</v>
      </c>
      <c r="AH102" s="65" t="s">
        <v>945</v>
      </c>
      <c r="AI102" s="65" t="s">
        <v>946</v>
      </c>
      <c r="AJ102" s="65" t="s">
        <v>197</v>
      </c>
      <c r="AK102" s="66">
        <v>45605</v>
      </c>
      <c r="AL102" s="66"/>
      <c r="AM102" s="66"/>
      <c r="AN102" s="67"/>
      <c r="AO102" s="67"/>
      <c r="AP102" s="67">
        <f t="shared" si="5"/>
        <v>0</v>
      </c>
      <c r="AQ102" s="59"/>
    </row>
    <row r="103" spans="1:48" s="273" customFormat="1" ht="18" customHeight="1">
      <c r="A103" s="256" t="s">
        <v>746</v>
      </c>
      <c r="B103" s="257">
        <v>45611</v>
      </c>
      <c r="C103" s="256" t="s">
        <v>142</v>
      </c>
      <c r="D103" s="258">
        <v>2</v>
      </c>
      <c r="E103" s="256" t="s">
        <v>959</v>
      </c>
      <c r="F103" s="256" t="s">
        <v>227</v>
      </c>
      <c r="G103" s="258" t="s">
        <v>952</v>
      </c>
      <c r="H103" s="256" t="str">
        <f>IFERROR(VLOOKUP(C103,DATA!$A$11:$L$64,3,FALSE),"")</f>
        <v>FRESH LONGAN</v>
      </c>
      <c r="I103" s="259" t="s">
        <v>951</v>
      </c>
      <c r="J103" s="260" t="s">
        <v>952</v>
      </c>
      <c r="K103" s="260" t="s">
        <v>953</v>
      </c>
      <c r="L103" s="261" t="s">
        <v>746</v>
      </c>
      <c r="M103" s="262">
        <f>IFERROR(VLOOKUP(C103,DATA!$A$11:$L$71,4,FALSE),"")</f>
        <v>1.2</v>
      </c>
      <c r="N103" s="263">
        <f>IFERROR(VLOOKUP(C103,DATA!$A$11:$L$71,5,FALSE),"")</f>
        <v>1.1200000000000001</v>
      </c>
      <c r="O103" s="263">
        <f>IFERROR(VLOOKUP(C103,DATA!$A$11:$L$71,6,FALSE),"")</f>
        <v>13</v>
      </c>
      <c r="P103" s="263">
        <f>IFERROR(VLOOKUP(C103,DATA!$A$11:$L$71,7,FALSE),"")</f>
        <v>11.5</v>
      </c>
      <c r="Q103" s="264">
        <f>IFERROR(VLOOKUP(C103,DATA!$A$11:$L$71,8,FALSE),"")</f>
        <v>2200</v>
      </c>
      <c r="R103" s="265" t="str">
        <f>IFERROR(VLOOKUP(C103,DATA!$A$11:$L$71,9,FALSE),"")</f>
        <v>PLASTIC BASKETS</v>
      </c>
      <c r="S103" s="266">
        <f>IFERROR(VLOOKUP(C103,DATA!$A$11:$L$71,10,FALSE),"")</f>
        <v>2</v>
      </c>
      <c r="T103" s="267" t="str">
        <f>IFERROR(VLOOKUP(C103,DATA!$A$11:$L$71,11,FALSE),"")</f>
        <v>10%</v>
      </c>
      <c r="U103" s="259" t="str">
        <f>IFERROR(VLOOKUP(C103,DATA!$A$11:$L$71,12,FALSE),"")</f>
        <v>BEIJING JUNYAO INTERNATIONAL</v>
      </c>
      <c r="V103" s="256" t="s">
        <v>190</v>
      </c>
      <c r="W103" s="256" t="s">
        <v>915</v>
      </c>
      <c r="X103" s="256" t="s">
        <v>192</v>
      </c>
      <c r="Y103" s="256" t="s">
        <v>193</v>
      </c>
      <c r="Z103" s="257">
        <v>45610</v>
      </c>
      <c r="AA103" s="257" t="s">
        <v>954</v>
      </c>
      <c r="AB103" s="268">
        <v>45617</v>
      </c>
      <c r="AC103" s="268">
        <v>45622</v>
      </c>
      <c r="AD103" s="256" t="s">
        <v>13</v>
      </c>
      <c r="AE103" s="256" t="s">
        <v>955</v>
      </c>
      <c r="AF103" s="269" t="s">
        <v>867</v>
      </c>
      <c r="AG103" s="269" t="s">
        <v>956</v>
      </c>
      <c r="AH103" s="269" t="s">
        <v>958</v>
      </c>
      <c r="AI103" s="269" t="s">
        <v>957</v>
      </c>
      <c r="AJ103" s="269" t="s">
        <v>197</v>
      </c>
      <c r="AK103" s="270">
        <v>45611</v>
      </c>
      <c r="AL103" s="270"/>
      <c r="AM103" s="270"/>
      <c r="AN103" s="271"/>
      <c r="AO103" s="271"/>
      <c r="AP103" s="271">
        <f t="shared" si="5"/>
        <v>0</v>
      </c>
      <c r="AQ103" s="272"/>
      <c r="AS103" s="543"/>
      <c r="AT103" s="613"/>
      <c r="AU103" s="591"/>
      <c r="AV103" s="591"/>
    </row>
    <row r="104" spans="1:48" s="273" customFormat="1" ht="18" customHeight="1">
      <c r="A104" s="256" t="s">
        <v>747</v>
      </c>
      <c r="B104" s="257">
        <v>45611</v>
      </c>
      <c r="C104" s="256" t="s">
        <v>142</v>
      </c>
      <c r="D104" s="258">
        <v>1</v>
      </c>
      <c r="E104" s="256" t="s">
        <v>959</v>
      </c>
      <c r="F104" s="256" t="s">
        <v>227</v>
      </c>
      <c r="G104" s="258" t="s">
        <v>961</v>
      </c>
      <c r="H104" s="256" t="str">
        <f>IFERROR(VLOOKUP(C104,DATA!$A$11:$L$64,3,FALSE),"")</f>
        <v>FRESH LONGAN</v>
      </c>
      <c r="I104" s="259" t="s">
        <v>960</v>
      </c>
      <c r="J104" s="260" t="s">
        <v>961</v>
      </c>
      <c r="K104" s="260" t="s">
        <v>962</v>
      </c>
      <c r="L104" s="261" t="s">
        <v>747</v>
      </c>
      <c r="M104" s="262">
        <f>IFERROR(VLOOKUP(C104,DATA!$A$11:$L$71,4,FALSE),"")</f>
        <v>1.2</v>
      </c>
      <c r="N104" s="263">
        <f>IFERROR(VLOOKUP(C104,DATA!$A$11:$L$71,5,FALSE),"")</f>
        <v>1.1200000000000001</v>
      </c>
      <c r="O104" s="263">
        <f>IFERROR(VLOOKUP(C104,DATA!$A$11:$L$71,6,FALSE),"")</f>
        <v>13</v>
      </c>
      <c r="P104" s="263">
        <f>IFERROR(VLOOKUP(C104,DATA!$A$11:$L$71,7,FALSE),"")</f>
        <v>11.5</v>
      </c>
      <c r="Q104" s="264">
        <f>IFERROR(VLOOKUP(C104,DATA!$A$11:$L$71,8,FALSE),"")</f>
        <v>2200</v>
      </c>
      <c r="R104" s="265" t="str">
        <f>IFERROR(VLOOKUP(C104,DATA!$A$11:$L$71,9,FALSE),"")</f>
        <v>PLASTIC BASKETS</v>
      </c>
      <c r="S104" s="266">
        <f>IFERROR(VLOOKUP(C104,DATA!$A$11:$L$71,10,FALSE),"")</f>
        <v>2</v>
      </c>
      <c r="T104" s="267" t="str">
        <f>IFERROR(VLOOKUP(C104,DATA!$A$11:$L$71,11,FALSE),"")</f>
        <v>10%</v>
      </c>
      <c r="U104" s="259" t="str">
        <f>IFERROR(VLOOKUP(C104,DATA!$A$11:$L$71,12,FALSE),"")</f>
        <v>BEIJING JUNYAO INTERNATIONAL</v>
      </c>
      <c r="V104" s="256" t="s">
        <v>190</v>
      </c>
      <c r="W104" s="256" t="s">
        <v>909</v>
      </c>
      <c r="X104" s="256" t="s">
        <v>192</v>
      </c>
      <c r="Y104" s="256" t="s">
        <v>912</v>
      </c>
      <c r="Z104" s="257">
        <v>45611</v>
      </c>
      <c r="AA104" s="257" t="s">
        <v>963</v>
      </c>
      <c r="AB104" s="268">
        <v>45618</v>
      </c>
      <c r="AC104" s="268">
        <v>45624</v>
      </c>
      <c r="AD104" s="256" t="s">
        <v>13</v>
      </c>
      <c r="AE104" s="256" t="s">
        <v>964</v>
      </c>
      <c r="AF104" s="269" t="s">
        <v>867</v>
      </c>
      <c r="AG104" s="269" t="s">
        <v>965</v>
      </c>
      <c r="AH104" s="269" t="s">
        <v>966</v>
      </c>
      <c r="AI104" s="269" t="s">
        <v>967</v>
      </c>
      <c r="AJ104" s="269" t="s">
        <v>197</v>
      </c>
      <c r="AK104" s="270">
        <v>45611</v>
      </c>
      <c r="AL104" s="270">
        <v>45615</v>
      </c>
      <c r="AM104" s="270"/>
      <c r="AN104" s="271"/>
      <c r="AO104" s="271"/>
      <c r="AP104" s="271">
        <f t="shared" si="5"/>
        <v>0</v>
      </c>
      <c r="AQ104" s="272"/>
      <c r="AS104" s="543"/>
      <c r="AT104" s="613"/>
      <c r="AU104" s="591"/>
      <c r="AV104" s="591"/>
    </row>
    <row r="105" spans="1:48" ht="18" customHeight="1">
      <c r="A105" s="6" t="s">
        <v>748</v>
      </c>
      <c r="B105" s="60">
        <v>45614</v>
      </c>
      <c r="C105" s="6" t="s">
        <v>979</v>
      </c>
      <c r="D105" s="30">
        <v>1</v>
      </c>
      <c r="E105" s="6" t="s">
        <v>986</v>
      </c>
      <c r="F105" s="6" t="s">
        <v>227</v>
      </c>
      <c r="G105" s="30" t="str">
        <f>IFERROR(VLOOKUP(C105,DATA!$A$11:$L$71,2,FALSE),"")</f>
        <v>FRESH GINGER</v>
      </c>
      <c r="H105" s="6" t="s">
        <v>970</v>
      </c>
      <c r="I105" s="32" t="s">
        <v>969</v>
      </c>
      <c r="J105" s="32" t="s">
        <v>984</v>
      </c>
      <c r="K105" s="32" t="s">
        <v>985</v>
      </c>
      <c r="L105" s="62" t="s">
        <v>748</v>
      </c>
      <c r="M105" s="191">
        <f>IFERROR(VLOOKUP(C105,DATA!$A$11:$L$71,4,FALSE),"")</f>
        <v>550</v>
      </c>
      <c r="N105" s="192">
        <f>IFERROR(VLOOKUP(C105,DATA!$A$11:$L$71,5,FALSE),"")</f>
        <v>530</v>
      </c>
      <c r="O105" s="192">
        <f>IFERROR(VLOOKUP(C105,DATA!$A$11:$L$71,6,FALSE),"")</f>
        <v>21.15</v>
      </c>
      <c r="P105" s="192">
        <f>IFERROR(VLOOKUP(C105,DATA!$A$11:$L$71,7,FALSE),"")</f>
        <v>20</v>
      </c>
      <c r="Q105" s="193">
        <f>IFERROR(VLOOKUP(C105,DATA!$A$11:$L$71,8,FALSE),"")</f>
        <v>1300</v>
      </c>
      <c r="R105" s="194" t="str">
        <f>IFERROR(VLOOKUP(C105,DATA!$A$11:$L$71,9,FALSE),"")</f>
        <v>BAGS</v>
      </c>
      <c r="S105" s="195">
        <f>IFERROR(VLOOKUP(C105,DATA!$A$11:$L$71,10,FALSE),"")</f>
        <v>12</v>
      </c>
      <c r="T105" s="196" t="str">
        <f>IFERROR(VLOOKUP(C105,DATA!$A$11:$L$71,11,FALSE),"")</f>
        <v>15%</v>
      </c>
      <c r="U105" s="32" t="str">
        <f>IFERROR(VLOOKUP(C105,DATA!$A$11:$L$71,12,FALSE),"")</f>
        <v>QINGXIA INTERNATIONAL (SMC-PRIVATE) LIMITED</v>
      </c>
      <c r="V105" s="6" t="s">
        <v>190</v>
      </c>
      <c r="W105" s="6" t="s">
        <v>915</v>
      </c>
      <c r="X105" s="6" t="s">
        <v>192</v>
      </c>
      <c r="Y105" s="6" t="s">
        <v>491</v>
      </c>
      <c r="Z105" s="60">
        <v>45611</v>
      </c>
      <c r="AA105" s="60" t="s">
        <v>971</v>
      </c>
      <c r="AB105" s="64">
        <v>45617</v>
      </c>
      <c r="AC105" s="64">
        <v>45631</v>
      </c>
      <c r="AD105" s="6" t="s">
        <v>972</v>
      </c>
      <c r="AE105" s="6" t="s">
        <v>973</v>
      </c>
      <c r="AF105" s="65" t="s">
        <v>867</v>
      </c>
      <c r="AG105" s="65" t="s">
        <v>974</v>
      </c>
      <c r="AH105" s="65" t="s">
        <v>975</v>
      </c>
      <c r="AI105" s="65" t="s">
        <v>976</v>
      </c>
      <c r="AJ105" s="65" t="s">
        <v>977</v>
      </c>
      <c r="AK105" s="66">
        <v>45613</v>
      </c>
      <c r="AL105" s="66">
        <v>45616</v>
      </c>
      <c r="AM105" s="66"/>
      <c r="AN105" s="67"/>
      <c r="AO105" s="67"/>
      <c r="AP105" s="67">
        <f t="shared" si="5"/>
        <v>0</v>
      </c>
      <c r="AQ105" s="59"/>
    </row>
    <row r="106" spans="1:48" ht="18" customHeight="1">
      <c r="A106" s="274" t="s">
        <v>749</v>
      </c>
      <c r="B106" s="60">
        <v>45618</v>
      </c>
      <c r="C106" s="35" t="s">
        <v>880</v>
      </c>
      <c r="D106" s="242">
        <v>12</v>
      </c>
      <c r="E106" s="6" t="s">
        <v>859</v>
      </c>
      <c r="F106" s="6" t="s">
        <v>860</v>
      </c>
      <c r="G106" s="30" t="s">
        <v>987</v>
      </c>
      <c r="H106" s="6" t="str">
        <f>IFERROR(VLOOKUP(C106,DATA!$A$11:$L$64,3,FALSE),"")</f>
        <v>FRESH LONGAN</v>
      </c>
      <c r="I106" s="32" t="s">
        <v>988</v>
      </c>
      <c r="J106" s="174" t="s">
        <v>987</v>
      </c>
      <c r="K106" s="174" t="s">
        <v>994</v>
      </c>
      <c r="L106" s="62" t="s">
        <v>749</v>
      </c>
      <c r="M106" s="191">
        <f>IFERROR(VLOOKUP(C106,DATA!$A$11:$L$71,4,FALSE),"")</f>
        <v>1.2</v>
      </c>
      <c r="N106" s="192">
        <f>IFERROR(VLOOKUP(C106,DATA!$A$11:$L$71,5,FALSE),"")</f>
        <v>1.1200000000000001</v>
      </c>
      <c r="O106" s="192">
        <f>IFERROR(VLOOKUP(C106,DATA!$A$11:$L$71,6,FALSE),"")</f>
        <v>13</v>
      </c>
      <c r="P106" s="192">
        <f>IFERROR(VLOOKUP(C106,DATA!$A$11:$L$71,7,FALSE),"")</f>
        <v>11.5</v>
      </c>
      <c r="Q106" s="284">
        <f>IFERROR(VLOOKUP(C106,DATA!$A$11:$L$71,8,FALSE),"")</f>
        <v>2200</v>
      </c>
      <c r="R106" s="194" t="str">
        <f>IFERROR(VLOOKUP(C106,DATA!$A$11:$L$71,9,FALSE),"")</f>
        <v>PLASTIC BASKETS</v>
      </c>
      <c r="S106" s="195">
        <f>IFERROR(VLOOKUP(C106,DATA!$A$11:$L$71,10,FALSE),"")</f>
        <v>2</v>
      </c>
      <c r="T106" s="196" t="str">
        <f>IFERROR(VLOOKUP(C106,DATA!$A$11:$L$71,11,FALSE),"")</f>
        <v>10%</v>
      </c>
      <c r="U106" s="32" t="str">
        <f>IFERROR(VLOOKUP(C106,DATA!$A$11:$L$71,12,FALSE),"")</f>
        <v>BEIJING JUNYAO INTERNATIONAL</v>
      </c>
      <c r="V106" s="6" t="s">
        <v>190</v>
      </c>
      <c r="W106" s="6" t="s">
        <v>909</v>
      </c>
      <c r="X106" s="6" t="s">
        <v>192</v>
      </c>
      <c r="Y106" s="6" t="s">
        <v>912</v>
      </c>
      <c r="Z106" s="60">
        <v>45618</v>
      </c>
      <c r="AA106" s="60" t="s">
        <v>989</v>
      </c>
      <c r="AB106" s="64">
        <v>45625</v>
      </c>
      <c r="AC106" s="64">
        <v>45631</v>
      </c>
      <c r="AD106" s="6" t="s">
        <v>13</v>
      </c>
      <c r="AE106" s="6" t="s">
        <v>990</v>
      </c>
      <c r="AF106" s="65" t="s">
        <v>867</v>
      </c>
      <c r="AG106" s="65" t="s">
        <v>991</v>
      </c>
      <c r="AH106" s="65" t="s">
        <v>992</v>
      </c>
      <c r="AI106" s="65" t="s">
        <v>993</v>
      </c>
      <c r="AJ106" s="65" t="s">
        <v>197</v>
      </c>
      <c r="AK106" s="66">
        <v>45618</v>
      </c>
      <c r="AL106" s="66">
        <v>45624</v>
      </c>
      <c r="AM106" s="66"/>
      <c r="AN106" s="67"/>
      <c r="AO106" s="67"/>
      <c r="AP106" s="67">
        <f t="shared" si="5"/>
        <v>0</v>
      </c>
      <c r="AQ106" s="59"/>
    </row>
    <row r="107" spans="1:48" s="273" customFormat="1" ht="18" customHeight="1">
      <c r="A107" s="256" t="s">
        <v>750</v>
      </c>
      <c r="B107" s="257">
        <v>45619</v>
      </c>
      <c r="C107" s="256" t="s">
        <v>142</v>
      </c>
      <c r="D107" s="258">
        <v>3</v>
      </c>
      <c r="E107" s="256" t="s">
        <v>959</v>
      </c>
      <c r="F107" s="256" t="s">
        <v>227</v>
      </c>
      <c r="G107" s="258" t="s">
        <v>995</v>
      </c>
      <c r="H107" s="256" t="str">
        <f>IFERROR(VLOOKUP(C107,DATA!$A$11:$L$64,3,FALSE),"")</f>
        <v>FRESH LONGAN</v>
      </c>
      <c r="I107" s="259" t="s">
        <v>996</v>
      </c>
      <c r="J107" s="259" t="s">
        <v>995</v>
      </c>
      <c r="K107" s="259" t="s">
        <v>997</v>
      </c>
      <c r="L107" s="261" t="s">
        <v>750</v>
      </c>
      <c r="M107" s="262">
        <f>IFERROR(VLOOKUP(C107,DATA!$A$11:$L$71,4,FALSE),"")</f>
        <v>1.2</v>
      </c>
      <c r="N107" s="263">
        <f>IFERROR(VLOOKUP(C107,DATA!$A$11:$L$71,5,FALSE),"")</f>
        <v>1.1200000000000001</v>
      </c>
      <c r="O107" s="263">
        <f>IFERROR(VLOOKUP(C107,DATA!$A$11:$L$71,6,FALSE),"")</f>
        <v>13</v>
      </c>
      <c r="P107" s="263">
        <f>IFERROR(VLOOKUP(C107,DATA!$A$11:$L$71,7,FALSE),"")</f>
        <v>11.5</v>
      </c>
      <c r="Q107" s="264">
        <f>IFERROR(VLOOKUP(C107,DATA!$A$11:$L$71,8,FALSE),"")</f>
        <v>2200</v>
      </c>
      <c r="R107" s="265" t="str">
        <f>IFERROR(VLOOKUP(C107,DATA!$A$11:$L$71,9,FALSE),"")</f>
        <v>PLASTIC BASKETS</v>
      </c>
      <c r="S107" s="266">
        <f>IFERROR(VLOOKUP(C107,DATA!$A$11:$L$71,10,FALSE),"")</f>
        <v>2</v>
      </c>
      <c r="T107" s="267" t="str">
        <f>IFERROR(VLOOKUP(C107,DATA!$A$11:$L$71,11,FALSE),"")</f>
        <v>10%</v>
      </c>
      <c r="U107" s="259" t="str">
        <f>IFERROR(VLOOKUP(C107,DATA!$A$11:$L$71,12,FALSE),"")</f>
        <v>BEIJING JUNYAO INTERNATIONAL</v>
      </c>
      <c r="V107" s="256" t="s">
        <v>190</v>
      </c>
      <c r="W107" s="256" t="s">
        <v>909</v>
      </c>
      <c r="X107" s="256" t="s">
        <v>192</v>
      </c>
      <c r="Y107" s="256" t="s">
        <v>912</v>
      </c>
      <c r="Z107" s="257">
        <v>45619</v>
      </c>
      <c r="AA107" s="257" t="s">
        <v>998</v>
      </c>
      <c r="AB107" s="268">
        <v>45626</v>
      </c>
      <c r="AC107" s="268">
        <v>45631</v>
      </c>
      <c r="AD107" s="256" t="s">
        <v>13</v>
      </c>
      <c r="AE107" s="256" t="s">
        <v>990</v>
      </c>
      <c r="AF107" s="269" t="s">
        <v>867</v>
      </c>
      <c r="AG107" s="269" t="s">
        <v>999</v>
      </c>
      <c r="AH107" s="269" t="s">
        <v>1000</v>
      </c>
      <c r="AI107" s="269" t="s">
        <v>1001</v>
      </c>
      <c r="AJ107" s="269" t="s">
        <v>197</v>
      </c>
      <c r="AK107" s="270">
        <v>45619</v>
      </c>
      <c r="AL107" s="270">
        <v>45622</v>
      </c>
      <c r="AM107" s="270"/>
      <c r="AN107" s="271"/>
      <c r="AO107" s="271"/>
      <c r="AP107" s="271">
        <f t="shared" si="5"/>
        <v>0</v>
      </c>
      <c r="AQ107" s="272"/>
      <c r="AS107" s="543"/>
      <c r="AT107" s="613"/>
      <c r="AU107" s="591"/>
      <c r="AV107" s="591"/>
    </row>
    <row r="108" spans="1:48" s="273" customFormat="1" ht="18" customHeight="1">
      <c r="A108" s="256" t="s">
        <v>751</v>
      </c>
      <c r="B108" s="257">
        <v>45624</v>
      </c>
      <c r="C108" s="256" t="s">
        <v>142</v>
      </c>
      <c r="D108" s="258">
        <v>4</v>
      </c>
      <c r="E108" s="256" t="s">
        <v>959</v>
      </c>
      <c r="F108" s="256" t="s">
        <v>227</v>
      </c>
      <c r="G108" s="258" t="s">
        <v>1002</v>
      </c>
      <c r="H108" s="256" t="str">
        <f>IFERROR(VLOOKUP(C108,DATA!$A$11:$L$64,3,FALSE),"")</f>
        <v>FRESH LONGAN</v>
      </c>
      <c r="I108" s="259" t="s">
        <v>1003</v>
      </c>
      <c r="J108" s="259" t="s">
        <v>1002</v>
      </c>
      <c r="K108" s="259" t="s">
        <v>1004</v>
      </c>
      <c r="L108" s="261" t="s">
        <v>751</v>
      </c>
      <c r="M108" s="262">
        <f>IFERROR(VLOOKUP(C108,DATA!$A$11:$L$71,4,FALSE),"")</f>
        <v>1.2</v>
      </c>
      <c r="N108" s="263">
        <f>IFERROR(VLOOKUP(C108,DATA!$A$11:$L$71,5,FALSE),"")</f>
        <v>1.1200000000000001</v>
      </c>
      <c r="O108" s="263">
        <f>IFERROR(VLOOKUP(C108,DATA!$A$11:$L$71,6,FALSE),"")</f>
        <v>13</v>
      </c>
      <c r="P108" s="263">
        <f>IFERROR(VLOOKUP(C108,DATA!$A$11:$L$71,7,FALSE),"")</f>
        <v>11.5</v>
      </c>
      <c r="Q108" s="264">
        <f>IFERROR(VLOOKUP(C108,DATA!$A$11:$L$71,8,FALSE),"")</f>
        <v>2200</v>
      </c>
      <c r="R108" s="265" t="str">
        <f>IFERROR(VLOOKUP(C108,DATA!$A$11:$L$71,9,FALSE),"")</f>
        <v>PLASTIC BASKETS</v>
      </c>
      <c r="S108" s="266">
        <f>IFERROR(VLOOKUP(C108,DATA!$A$11:$L$71,10,FALSE),"")</f>
        <v>2</v>
      </c>
      <c r="T108" s="267" t="str">
        <f>IFERROR(VLOOKUP(C108,DATA!$A$11:$L$71,11,FALSE),"")</f>
        <v>10%</v>
      </c>
      <c r="U108" s="259" t="str">
        <f>IFERROR(VLOOKUP(C108,DATA!$A$11:$L$71,12,FALSE),"")</f>
        <v>BEIJING JUNYAO INTERNATIONAL</v>
      </c>
      <c r="V108" s="256" t="s">
        <v>190</v>
      </c>
      <c r="W108" s="256" t="s">
        <v>909</v>
      </c>
      <c r="X108" s="256" t="s">
        <v>192</v>
      </c>
      <c r="Y108" s="256" t="s">
        <v>912</v>
      </c>
      <c r="Z108" s="257">
        <v>45624</v>
      </c>
      <c r="AA108" s="257" t="s">
        <v>1005</v>
      </c>
      <c r="AB108" s="268">
        <v>45632</v>
      </c>
      <c r="AC108" s="268">
        <v>45638</v>
      </c>
      <c r="AD108" s="256" t="s">
        <v>13</v>
      </c>
      <c r="AE108" s="256" t="s">
        <v>1006</v>
      </c>
      <c r="AF108" s="269" t="s">
        <v>867</v>
      </c>
      <c r="AG108" s="269" t="s">
        <v>1007</v>
      </c>
      <c r="AH108" s="269" t="s">
        <v>1008</v>
      </c>
      <c r="AI108" s="269" t="s">
        <v>1009</v>
      </c>
      <c r="AJ108" s="269" t="s">
        <v>197</v>
      </c>
      <c r="AK108" s="270">
        <v>45624</v>
      </c>
      <c r="AL108" s="270">
        <v>45630</v>
      </c>
      <c r="AM108" s="270"/>
      <c r="AN108" s="271"/>
      <c r="AO108" s="271"/>
      <c r="AP108" s="271">
        <f t="shared" si="5"/>
        <v>0</v>
      </c>
      <c r="AQ108" s="272"/>
      <c r="AS108" s="543"/>
      <c r="AT108" s="613"/>
      <c r="AU108" s="591"/>
      <c r="AV108" s="591"/>
    </row>
    <row r="109" spans="1:48" ht="18" customHeight="1">
      <c r="A109" s="6" t="s">
        <v>752</v>
      </c>
      <c r="B109" s="60">
        <v>45624</v>
      </c>
      <c r="C109" s="35" t="s">
        <v>880</v>
      </c>
      <c r="D109" s="242">
        <v>13</v>
      </c>
      <c r="E109" s="6" t="s">
        <v>859</v>
      </c>
      <c r="F109" s="6" t="s">
        <v>860</v>
      </c>
      <c r="G109" s="30" t="s">
        <v>1010</v>
      </c>
      <c r="H109" s="6" t="str">
        <f>IFERROR(VLOOKUP(C109,DATA!$A$11:$L$64,3,FALSE),"")</f>
        <v>FRESH LONGAN</v>
      </c>
      <c r="I109" s="32" t="s">
        <v>1011</v>
      </c>
      <c r="J109" s="32" t="s">
        <v>1010</v>
      </c>
      <c r="K109" s="32" t="s">
        <v>1012</v>
      </c>
      <c r="L109" s="62" t="s">
        <v>752</v>
      </c>
      <c r="M109" s="191">
        <f>IFERROR(VLOOKUP(C109,DATA!$A$11:$L$71,4,FALSE),"")</f>
        <v>1.2</v>
      </c>
      <c r="N109" s="192">
        <f>IFERROR(VLOOKUP(C109,DATA!$A$11:$L$71,5,FALSE),"")</f>
        <v>1.1200000000000001</v>
      </c>
      <c r="O109" s="192">
        <f>IFERROR(VLOOKUP(C109,DATA!$A$11:$L$71,6,FALSE),"")</f>
        <v>13</v>
      </c>
      <c r="P109" s="192">
        <f>IFERROR(VLOOKUP(C109,DATA!$A$11:$L$71,7,FALSE),"")</f>
        <v>11.5</v>
      </c>
      <c r="Q109" s="193">
        <f>IFERROR(VLOOKUP(C109,DATA!$A$11:$L$71,8,FALSE),"")</f>
        <v>2200</v>
      </c>
      <c r="R109" s="194" t="str">
        <f>IFERROR(VLOOKUP(C109,DATA!$A$11:$L$71,9,FALSE),"")</f>
        <v>PLASTIC BASKETS</v>
      </c>
      <c r="S109" s="195">
        <f>IFERROR(VLOOKUP(C109,DATA!$A$11:$L$71,10,FALSE),"")</f>
        <v>2</v>
      </c>
      <c r="T109" s="290" t="s">
        <v>136</v>
      </c>
      <c r="U109" s="32" t="str">
        <f>IFERROR(VLOOKUP(C109,DATA!$A$11:$L$71,12,FALSE),"")</f>
        <v>BEIJING JUNYAO INTERNATIONAL</v>
      </c>
      <c r="V109" s="286" t="s">
        <v>190</v>
      </c>
      <c r="W109" s="286" t="s">
        <v>909</v>
      </c>
      <c r="X109" s="6" t="s">
        <v>192</v>
      </c>
      <c r="Y109" s="286" t="s">
        <v>912</v>
      </c>
      <c r="Z109" s="287">
        <v>45624</v>
      </c>
      <c r="AA109" s="287" t="s">
        <v>1005</v>
      </c>
      <c r="AB109" s="288">
        <v>45632</v>
      </c>
      <c r="AC109" s="288">
        <v>45638</v>
      </c>
      <c r="AD109" s="286" t="s">
        <v>13</v>
      </c>
      <c r="AE109" s="286" t="s">
        <v>1006</v>
      </c>
      <c r="AF109" s="65" t="s">
        <v>867</v>
      </c>
      <c r="AG109" s="65" t="s">
        <v>1013</v>
      </c>
      <c r="AH109" s="65" t="s">
        <v>1014</v>
      </c>
      <c r="AI109" s="65" t="s">
        <v>1015</v>
      </c>
      <c r="AJ109" s="65" t="s">
        <v>197</v>
      </c>
      <c r="AK109" s="66">
        <v>45624</v>
      </c>
      <c r="AL109" s="66">
        <v>45630</v>
      </c>
      <c r="AM109" s="66"/>
      <c r="AN109" s="67"/>
      <c r="AO109" s="67"/>
      <c r="AP109" s="67">
        <f t="shared" si="5"/>
        <v>0</v>
      </c>
      <c r="AQ109" s="59"/>
    </row>
    <row r="110" spans="1:48" s="273" customFormat="1" ht="18" customHeight="1">
      <c r="A110" s="256" t="s">
        <v>753</v>
      </c>
      <c r="B110" s="257">
        <v>45625</v>
      </c>
      <c r="C110" s="256" t="s">
        <v>142</v>
      </c>
      <c r="D110" s="258">
        <v>5</v>
      </c>
      <c r="E110" s="256" t="s">
        <v>959</v>
      </c>
      <c r="F110" s="256" t="s">
        <v>227</v>
      </c>
      <c r="G110" s="258" t="s">
        <v>1016</v>
      </c>
      <c r="H110" s="256" t="str">
        <f>IFERROR(VLOOKUP(C110,DATA!$A$11:$L$64,3,FALSE),"")</f>
        <v>FRESH LONGAN</v>
      </c>
      <c r="I110" s="259" t="s">
        <v>1017</v>
      </c>
      <c r="J110" s="259" t="s">
        <v>1016</v>
      </c>
      <c r="K110" s="259" t="s">
        <v>1018</v>
      </c>
      <c r="L110" s="261" t="s">
        <v>753</v>
      </c>
      <c r="M110" s="262">
        <f>IFERROR(VLOOKUP(C110,DATA!$A$11:$L$71,4,FALSE),"")</f>
        <v>1.2</v>
      </c>
      <c r="N110" s="263">
        <f>IFERROR(VLOOKUP(C110,DATA!$A$11:$L$71,5,FALSE),"")</f>
        <v>1.1200000000000001</v>
      </c>
      <c r="O110" s="263">
        <f>IFERROR(VLOOKUP(C110,DATA!$A$11:$L$71,6,FALSE),"")</f>
        <v>13</v>
      </c>
      <c r="P110" s="263">
        <f>IFERROR(VLOOKUP(C110,DATA!$A$11:$L$71,7,FALSE),"")</f>
        <v>11.5</v>
      </c>
      <c r="Q110" s="264">
        <f>IFERROR(VLOOKUP(C110,DATA!$A$11:$L$71,8,FALSE),"")</f>
        <v>2200</v>
      </c>
      <c r="R110" s="265" t="str">
        <f>IFERROR(VLOOKUP(C110,DATA!$A$11:$L$71,9,FALSE),"")</f>
        <v>PLASTIC BASKETS</v>
      </c>
      <c r="S110" s="266">
        <f>IFERROR(VLOOKUP(C110,DATA!$A$11:$L$71,10,FALSE),"")</f>
        <v>2</v>
      </c>
      <c r="T110" s="267" t="str">
        <f>IFERROR(VLOOKUP(C110,DATA!$A$11:$L$71,11,FALSE),"")</f>
        <v>10%</v>
      </c>
      <c r="U110" s="259" t="str">
        <f>IFERROR(VLOOKUP(C110,DATA!$A$11:$L$71,12,FALSE),"")</f>
        <v>BEIJING JUNYAO INTERNATIONAL</v>
      </c>
      <c r="V110" s="256" t="s">
        <v>190</v>
      </c>
      <c r="W110" s="256" t="s">
        <v>884</v>
      </c>
      <c r="X110" s="256" t="s">
        <v>192</v>
      </c>
      <c r="Y110" s="256" t="s">
        <v>571</v>
      </c>
      <c r="Z110" s="257">
        <v>45625</v>
      </c>
      <c r="AA110" s="257" t="s">
        <v>1019</v>
      </c>
      <c r="AB110" s="268">
        <v>45633</v>
      </c>
      <c r="AC110" s="268">
        <v>45638</v>
      </c>
      <c r="AD110" s="256" t="s">
        <v>13</v>
      </c>
      <c r="AE110" s="256" t="s">
        <v>1020</v>
      </c>
      <c r="AF110" s="269" t="s">
        <v>867</v>
      </c>
      <c r="AG110" s="269" t="s">
        <v>1021</v>
      </c>
      <c r="AH110" s="289" t="s">
        <v>1022</v>
      </c>
      <c r="AI110" s="269" t="s">
        <v>1023</v>
      </c>
      <c r="AJ110" s="269" t="s">
        <v>197</v>
      </c>
      <c r="AK110" s="270">
        <v>45626</v>
      </c>
      <c r="AL110" s="270">
        <v>45631</v>
      </c>
      <c r="AM110" s="270"/>
      <c r="AN110" s="271"/>
      <c r="AO110" s="271"/>
      <c r="AP110" s="271">
        <f t="shared" si="5"/>
        <v>0</v>
      </c>
      <c r="AQ110" s="272"/>
      <c r="AS110" s="543"/>
      <c r="AT110" s="613"/>
      <c r="AU110" s="591"/>
      <c r="AV110" s="591"/>
    </row>
    <row r="111" spans="1:48" ht="18" customHeight="1">
      <c r="A111" s="6" t="s">
        <v>754</v>
      </c>
      <c r="B111" s="60">
        <v>45632</v>
      </c>
      <c r="C111" s="35" t="s">
        <v>880</v>
      </c>
      <c r="D111" s="242">
        <v>14</v>
      </c>
      <c r="E111" s="6" t="s">
        <v>859</v>
      </c>
      <c r="F111" s="6" t="s">
        <v>860</v>
      </c>
      <c r="G111" s="30" t="s">
        <v>1034</v>
      </c>
      <c r="H111" s="6" t="str">
        <f>IFERROR(VLOOKUP(C111,DATA!$A$11:$L$64,3,FALSE),"")</f>
        <v>FRESH LONGAN</v>
      </c>
      <c r="I111" s="32" t="s">
        <v>1024</v>
      </c>
      <c r="J111" s="32" t="s">
        <v>1034</v>
      </c>
      <c r="K111" s="32" t="s">
        <v>1035</v>
      </c>
      <c r="L111" s="62" t="s">
        <v>754</v>
      </c>
      <c r="M111" s="191">
        <f>IFERROR(VLOOKUP(C111,DATA!$A$11:$L$71,4,FALSE),"")</f>
        <v>1.2</v>
      </c>
      <c r="N111" s="192">
        <f>IFERROR(VLOOKUP(C111,DATA!$A$11:$L$71,5,FALSE),"")</f>
        <v>1.1200000000000001</v>
      </c>
      <c r="O111" s="192">
        <f>IFERROR(VLOOKUP(C111,DATA!$A$11:$L$71,6,FALSE),"")</f>
        <v>13</v>
      </c>
      <c r="P111" s="192">
        <f>IFERROR(VLOOKUP(C111,DATA!$A$11:$L$71,7,FALSE),"")</f>
        <v>11.5</v>
      </c>
      <c r="Q111" s="193">
        <f>IFERROR(VLOOKUP(C111,DATA!$A$11:$L$71,8,FALSE),"")</f>
        <v>2200</v>
      </c>
      <c r="R111" s="194" t="str">
        <f>IFERROR(VLOOKUP(C111,DATA!$A$11:$L$71,9,FALSE),"")</f>
        <v>PLASTIC BASKETS</v>
      </c>
      <c r="S111" s="195">
        <f>IFERROR(VLOOKUP(C111,DATA!$A$11:$L$71,10,FALSE),"")</f>
        <v>2</v>
      </c>
      <c r="T111" s="290" t="s">
        <v>136</v>
      </c>
      <c r="U111" s="32" t="str">
        <f>IFERROR(VLOOKUP(C111,DATA!$A$11:$L$71,12,FALSE),"")</f>
        <v>BEIJING JUNYAO INTERNATIONAL</v>
      </c>
      <c r="V111" s="6" t="s">
        <v>190</v>
      </c>
      <c r="W111" s="6" t="s">
        <v>909</v>
      </c>
      <c r="X111" s="6" t="s">
        <v>192</v>
      </c>
      <c r="Y111" s="286" t="s">
        <v>912</v>
      </c>
      <c r="Z111" s="60">
        <v>45632</v>
      </c>
      <c r="AA111" s="287" t="s">
        <v>1025</v>
      </c>
      <c r="AB111" s="288">
        <v>45639</v>
      </c>
      <c r="AC111" s="288">
        <v>45645</v>
      </c>
      <c r="AD111" s="286" t="s">
        <v>13</v>
      </c>
      <c r="AE111" s="286" t="s">
        <v>1026</v>
      </c>
      <c r="AF111" s="65" t="s">
        <v>867</v>
      </c>
      <c r="AG111" s="65" t="s">
        <v>1027</v>
      </c>
      <c r="AH111" s="65" t="s">
        <v>1028</v>
      </c>
      <c r="AI111" s="65" t="s">
        <v>1029</v>
      </c>
      <c r="AJ111" s="65" t="s">
        <v>197</v>
      </c>
      <c r="AK111" s="66">
        <v>45632</v>
      </c>
      <c r="AL111" s="66">
        <v>45636</v>
      </c>
      <c r="AM111" s="66"/>
      <c r="AN111" s="67"/>
      <c r="AO111" s="67"/>
      <c r="AP111" s="67">
        <f t="shared" si="5"/>
        <v>0</v>
      </c>
      <c r="AQ111" s="59"/>
    </row>
    <row r="112" spans="1:48" s="273" customFormat="1" ht="18" customHeight="1">
      <c r="A112" s="256" t="s">
        <v>755</v>
      </c>
      <c r="B112" s="257">
        <v>45632</v>
      </c>
      <c r="C112" s="256" t="s">
        <v>142</v>
      </c>
      <c r="D112" s="258">
        <v>6</v>
      </c>
      <c r="E112" s="256" t="s">
        <v>959</v>
      </c>
      <c r="F112" s="256" t="s">
        <v>227</v>
      </c>
      <c r="G112" s="258" t="s">
        <v>1036</v>
      </c>
      <c r="H112" s="256" t="str">
        <f>IFERROR(VLOOKUP(C112,DATA!$A$11:$L$64,3,FALSE),"")</f>
        <v>FRESH LONGAN</v>
      </c>
      <c r="I112" s="259" t="s">
        <v>1030</v>
      </c>
      <c r="J112" s="259" t="s">
        <v>1036</v>
      </c>
      <c r="K112" s="259" t="s">
        <v>1037</v>
      </c>
      <c r="L112" s="261" t="s">
        <v>755</v>
      </c>
      <c r="M112" s="262">
        <f>IFERROR(VLOOKUP(C112,DATA!$A$11:$L$71,4,FALSE),"")</f>
        <v>1.2</v>
      </c>
      <c r="N112" s="263">
        <f>IFERROR(VLOOKUP(C112,DATA!$A$11:$L$71,5,FALSE),"")</f>
        <v>1.1200000000000001</v>
      </c>
      <c r="O112" s="263">
        <f>IFERROR(VLOOKUP(C112,DATA!$A$11:$L$71,6,FALSE),"")</f>
        <v>13</v>
      </c>
      <c r="P112" s="263">
        <f>IFERROR(VLOOKUP(C112,DATA!$A$11:$L$71,7,FALSE),"")</f>
        <v>11.5</v>
      </c>
      <c r="Q112" s="264">
        <f>IFERROR(VLOOKUP(C112,DATA!$A$11:$L$71,8,FALSE),"")</f>
        <v>2200</v>
      </c>
      <c r="R112" s="265" t="str">
        <f>IFERROR(VLOOKUP(C112,DATA!$A$11:$L$71,9,FALSE),"")</f>
        <v>PLASTIC BASKETS</v>
      </c>
      <c r="S112" s="266">
        <f>IFERROR(VLOOKUP(C112,DATA!$A$11:$L$71,10,FALSE),"")</f>
        <v>2</v>
      </c>
      <c r="T112" s="267" t="str">
        <f>IFERROR(VLOOKUP(C112,DATA!$A$11:$L$71,11,FALSE),"")</f>
        <v>10%</v>
      </c>
      <c r="U112" s="259" t="str">
        <f>IFERROR(VLOOKUP(C112,DATA!$A$11:$L$71,12,FALSE),"")</f>
        <v>BEIJING JUNYAO INTERNATIONAL</v>
      </c>
      <c r="V112" s="256" t="s">
        <v>190</v>
      </c>
      <c r="W112" s="256" t="s">
        <v>909</v>
      </c>
      <c r="X112" s="256" t="s">
        <v>192</v>
      </c>
      <c r="Y112" s="256" t="s">
        <v>912</v>
      </c>
      <c r="Z112" s="257">
        <v>45632</v>
      </c>
      <c r="AA112" s="257" t="s">
        <v>1025</v>
      </c>
      <c r="AB112" s="268">
        <v>45639</v>
      </c>
      <c r="AC112" s="268">
        <v>45645</v>
      </c>
      <c r="AD112" s="256" t="s">
        <v>13</v>
      </c>
      <c r="AE112" s="256" t="s">
        <v>1026</v>
      </c>
      <c r="AF112" s="269" t="s">
        <v>867</v>
      </c>
      <c r="AG112" s="269" t="s">
        <v>1033</v>
      </c>
      <c r="AH112" s="269" t="s">
        <v>1031</v>
      </c>
      <c r="AI112" s="269" t="s">
        <v>1032</v>
      </c>
      <c r="AJ112" s="269" t="s">
        <v>197</v>
      </c>
      <c r="AK112" s="270">
        <v>45632</v>
      </c>
      <c r="AL112" s="270">
        <v>45638</v>
      </c>
      <c r="AM112" s="270"/>
      <c r="AN112" s="271"/>
      <c r="AO112" s="271"/>
      <c r="AP112" s="271">
        <f t="shared" si="5"/>
        <v>0</v>
      </c>
      <c r="AQ112" s="272"/>
      <c r="AS112" s="543"/>
      <c r="AT112" s="613"/>
      <c r="AU112" s="591"/>
      <c r="AV112" s="591"/>
    </row>
    <row r="113" spans="1:48" ht="18" customHeight="1">
      <c r="A113" s="6" t="s">
        <v>756</v>
      </c>
      <c r="B113" s="60">
        <v>45635</v>
      </c>
      <c r="C113" s="6" t="s">
        <v>880</v>
      </c>
      <c r="D113" s="30">
        <v>15</v>
      </c>
      <c r="E113" s="6" t="s">
        <v>859</v>
      </c>
      <c r="F113" s="6" t="s">
        <v>860</v>
      </c>
      <c r="G113" s="30" t="s">
        <v>1038</v>
      </c>
      <c r="H113" s="6" t="str">
        <f>IFERROR(VLOOKUP(C113,DATA!$A$11:$L$64,3,FALSE),"")</f>
        <v>FRESH LONGAN</v>
      </c>
      <c r="I113" s="32" t="s">
        <v>1039</v>
      </c>
      <c r="J113" s="32" t="s">
        <v>1038</v>
      </c>
      <c r="K113" s="32" t="s">
        <v>1040</v>
      </c>
      <c r="L113" s="62" t="s">
        <v>756</v>
      </c>
      <c r="M113" s="191">
        <f>IFERROR(VLOOKUP(C113,DATA!$A$11:$L$71,4,FALSE),"")</f>
        <v>1.2</v>
      </c>
      <c r="N113" s="192">
        <f>IFERROR(VLOOKUP(C113,DATA!$A$11:$L$71,5,FALSE),"")</f>
        <v>1.1200000000000001</v>
      </c>
      <c r="O113" s="192">
        <f>IFERROR(VLOOKUP(C113,DATA!$A$11:$L$71,6,FALSE),"")</f>
        <v>13</v>
      </c>
      <c r="P113" s="192">
        <f>IFERROR(VLOOKUP(C113,DATA!$A$11:$L$71,7,FALSE),"")</f>
        <v>11.5</v>
      </c>
      <c r="Q113" s="193">
        <f>IFERROR(VLOOKUP(C113,DATA!$A$11:$L$71,8,FALSE),"")</f>
        <v>2200</v>
      </c>
      <c r="R113" s="194" t="str">
        <f>IFERROR(VLOOKUP(C113,DATA!$A$11:$L$71,9,FALSE),"")</f>
        <v>PLASTIC BASKETS</v>
      </c>
      <c r="S113" s="195">
        <f>IFERROR(VLOOKUP(C113,DATA!$A$11:$L$71,10,FALSE),"")</f>
        <v>2</v>
      </c>
      <c r="T113" s="290" t="s">
        <v>136</v>
      </c>
      <c r="U113" s="32" t="str">
        <f>IFERROR(VLOOKUP(C113,DATA!$A$11:$L$71,12,FALSE),"")</f>
        <v>BEIJING JUNYAO INTERNATIONAL</v>
      </c>
      <c r="V113" s="6" t="s">
        <v>190</v>
      </c>
      <c r="W113" s="6" t="s">
        <v>686</v>
      </c>
      <c r="X113" s="6" t="s">
        <v>192</v>
      </c>
      <c r="Y113" s="6" t="s">
        <v>231</v>
      </c>
      <c r="Z113" s="60">
        <v>45635</v>
      </c>
      <c r="AA113" s="287" t="s">
        <v>1041</v>
      </c>
      <c r="AB113" s="288">
        <v>45641</v>
      </c>
      <c r="AC113" s="288">
        <v>45646</v>
      </c>
      <c r="AD113" s="286" t="s">
        <v>13</v>
      </c>
      <c r="AE113" s="286" t="s">
        <v>1042</v>
      </c>
      <c r="AF113" s="65" t="s">
        <v>867</v>
      </c>
      <c r="AG113" s="65" t="s">
        <v>1043</v>
      </c>
      <c r="AH113" s="65" t="s">
        <v>1044</v>
      </c>
      <c r="AI113" s="65" t="s">
        <v>1045</v>
      </c>
      <c r="AJ113" s="65" t="s">
        <v>197</v>
      </c>
      <c r="AK113" s="66">
        <v>45635</v>
      </c>
      <c r="AL113" s="66">
        <v>45639</v>
      </c>
      <c r="AM113" s="66"/>
      <c r="AN113" s="67"/>
      <c r="AO113" s="67"/>
      <c r="AP113" s="67">
        <f t="shared" si="5"/>
        <v>0</v>
      </c>
      <c r="AQ113" s="59"/>
    </row>
    <row r="114" spans="1:48" s="273" customFormat="1" ht="18" customHeight="1">
      <c r="A114" s="256" t="s">
        <v>757</v>
      </c>
      <c r="B114" s="257">
        <v>45639</v>
      </c>
      <c r="C114" s="256" t="s">
        <v>142</v>
      </c>
      <c r="D114" s="258">
        <v>7</v>
      </c>
      <c r="E114" s="256" t="s">
        <v>959</v>
      </c>
      <c r="F114" s="256" t="s">
        <v>227</v>
      </c>
      <c r="G114" s="258" t="s">
        <v>1046</v>
      </c>
      <c r="H114" s="256" t="str">
        <f>IFERROR(VLOOKUP(C114,DATA!$A$11:$L$64,3,FALSE),"")</f>
        <v>FRESH LONGAN</v>
      </c>
      <c r="I114" s="259" t="s">
        <v>1047</v>
      </c>
      <c r="J114" s="259" t="s">
        <v>1046</v>
      </c>
      <c r="K114" s="259" t="s">
        <v>1048</v>
      </c>
      <c r="L114" s="261" t="s">
        <v>757</v>
      </c>
      <c r="M114" s="262">
        <f>IFERROR(VLOOKUP(C114,DATA!$A$11:$L$71,4,FALSE),"")</f>
        <v>1.2</v>
      </c>
      <c r="N114" s="263">
        <f>IFERROR(VLOOKUP(C114,DATA!$A$11:$L$71,5,FALSE),"")</f>
        <v>1.1200000000000001</v>
      </c>
      <c r="O114" s="263">
        <f>IFERROR(VLOOKUP(C114,DATA!$A$11:$L$71,6,FALSE),"")</f>
        <v>13</v>
      </c>
      <c r="P114" s="263">
        <f>IFERROR(VLOOKUP(C114,DATA!$A$11:$L$71,7,FALSE),"")</f>
        <v>11.5</v>
      </c>
      <c r="Q114" s="264">
        <f>IFERROR(VLOOKUP(C114,DATA!$A$11:$L$71,8,FALSE),"")</f>
        <v>2200</v>
      </c>
      <c r="R114" s="265" t="str">
        <f>IFERROR(VLOOKUP(C114,DATA!$A$11:$L$71,9,FALSE),"")</f>
        <v>PLASTIC BASKETS</v>
      </c>
      <c r="S114" s="266">
        <f>IFERROR(VLOOKUP(C114,DATA!$A$11:$L$71,10,FALSE),"")</f>
        <v>2</v>
      </c>
      <c r="T114" s="267" t="str">
        <f>IFERROR(VLOOKUP(C114,DATA!$A$11:$L$71,11,FALSE),"")</f>
        <v>10%</v>
      </c>
      <c r="U114" s="259" t="str">
        <f>IFERROR(VLOOKUP(C114,DATA!$A$11:$L$71,12,FALSE),"")</f>
        <v>BEIJING JUNYAO INTERNATIONAL</v>
      </c>
      <c r="V114" s="256" t="s">
        <v>190</v>
      </c>
      <c r="W114" s="256" t="s">
        <v>909</v>
      </c>
      <c r="X114" s="256" t="s">
        <v>192</v>
      </c>
      <c r="Y114" s="256" t="s">
        <v>912</v>
      </c>
      <c r="Z114" s="257">
        <v>45639</v>
      </c>
      <c r="AA114" s="257" t="s">
        <v>1049</v>
      </c>
      <c r="AB114" s="268">
        <v>45646</v>
      </c>
      <c r="AC114" s="268">
        <v>45652</v>
      </c>
      <c r="AD114" s="256" t="s">
        <v>13</v>
      </c>
      <c r="AE114" s="256" t="s">
        <v>1050</v>
      </c>
      <c r="AF114" s="269" t="s">
        <v>867</v>
      </c>
      <c r="AG114" s="269" t="s">
        <v>991</v>
      </c>
      <c r="AH114" s="269" t="s">
        <v>992</v>
      </c>
      <c r="AI114" s="269" t="s">
        <v>993</v>
      </c>
      <c r="AJ114" s="269" t="s">
        <v>197</v>
      </c>
      <c r="AK114" s="270">
        <v>45640</v>
      </c>
      <c r="AL114" s="270">
        <v>45645</v>
      </c>
      <c r="AM114" s="270"/>
      <c r="AN114" s="271"/>
      <c r="AO114" s="271"/>
      <c r="AP114" s="271">
        <f t="shared" si="5"/>
        <v>0</v>
      </c>
      <c r="AQ114" s="272"/>
      <c r="AS114" s="543"/>
      <c r="AT114" s="613"/>
      <c r="AU114" s="591"/>
      <c r="AV114" s="591"/>
    </row>
    <row r="115" spans="1:48" ht="18" customHeight="1">
      <c r="A115" s="6" t="s">
        <v>758</v>
      </c>
      <c r="B115" s="60">
        <v>45639</v>
      </c>
      <c r="C115" s="6" t="s">
        <v>880</v>
      </c>
      <c r="D115" s="30">
        <v>16</v>
      </c>
      <c r="E115" s="6" t="s">
        <v>859</v>
      </c>
      <c r="F115" s="6" t="s">
        <v>860</v>
      </c>
      <c r="G115" s="30" t="s">
        <v>1051</v>
      </c>
      <c r="H115" s="6" t="str">
        <f>IFERROR(VLOOKUP(C115,DATA!$A$11:$L$64,3,FALSE),"")</f>
        <v>FRESH LONGAN</v>
      </c>
      <c r="I115" s="32" t="s">
        <v>1052</v>
      </c>
      <c r="J115" s="32" t="s">
        <v>1051</v>
      </c>
      <c r="K115" s="32" t="s">
        <v>1053</v>
      </c>
      <c r="L115" s="62" t="s">
        <v>758</v>
      </c>
      <c r="M115" s="191">
        <f>IFERROR(VLOOKUP(C115,DATA!$A$11:$L$71,4,FALSE),"")</f>
        <v>1.2</v>
      </c>
      <c r="N115" s="192">
        <f>IFERROR(VLOOKUP(C115,DATA!$A$11:$L$71,5,FALSE),"")</f>
        <v>1.1200000000000001</v>
      </c>
      <c r="O115" s="192">
        <f>IFERROR(VLOOKUP(C115,DATA!$A$11:$L$71,6,FALSE),"")</f>
        <v>13</v>
      </c>
      <c r="P115" s="192">
        <f>IFERROR(VLOOKUP(C115,DATA!$A$11:$L$71,7,FALSE),"")</f>
        <v>11.5</v>
      </c>
      <c r="Q115" s="193">
        <f>IFERROR(VLOOKUP(C115,DATA!$A$11:$L$71,8,FALSE),"")</f>
        <v>2200</v>
      </c>
      <c r="R115" s="194" t="str">
        <f>IFERROR(VLOOKUP(C115,DATA!$A$11:$L$71,9,FALSE),"")</f>
        <v>PLASTIC BASKETS</v>
      </c>
      <c r="S115" s="195">
        <f>IFERROR(VLOOKUP(C115,DATA!$A$11:$L$71,10,FALSE),"")</f>
        <v>2</v>
      </c>
      <c r="T115" s="290" t="s">
        <v>86</v>
      </c>
      <c r="U115" s="32" t="str">
        <f>IFERROR(VLOOKUP(C115,DATA!$A$11:$L$71,12,FALSE),"")</f>
        <v>BEIJING JUNYAO INTERNATIONAL</v>
      </c>
      <c r="V115" s="6" t="s">
        <v>190</v>
      </c>
      <c r="W115" s="6" t="s">
        <v>909</v>
      </c>
      <c r="X115" s="6" t="s">
        <v>192</v>
      </c>
      <c r="Y115" s="286" t="s">
        <v>912</v>
      </c>
      <c r="Z115" s="60">
        <v>45639</v>
      </c>
      <c r="AA115" s="60" t="s">
        <v>1049</v>
      </c>
      <c r="AB115" s="64">
        <v>45646</v>
      </c>
      <c r="AC115" s="64">
        <v>45652</v>
      </c>
      <c r="AD115" s="6" t="s">
        <v>13</v>
      </c>
      <c r="AE115" s="6" t="s">
        <v>1050</v>
      </c>
      <c r="AF115" s="65" t="s">
        <v>867</v>
      </c>
      <c r="AG115" s="65" t="s">
        <v>1054</v>
      </c>
      <c r="AH115" s="65" t="s">
        <v>1055</v>
      </c>
      <c r="AI115" s="65" t="s">
        <v>1056</v>
      </c>
      <c r="AJ115" s="65" t="s">
        <v>197</v>
      </c>
      <c r="AK115" s="66">
        <v>45640</v>
      </c>
      <c r="AL115" s="66">
        <v>45645</v>
      </c>
      <c r="AM115" s="66"/>
      <c r="AN115" s="67"/>
      <c r="AO115" s="67"/>
      <c r="AP115" s="67">
        <f t="shared" si="5"/>
        <v>0</v>
      </c>
      <c r="AQ115" s="59"/>
    </row>
    <row r="116" spans="1:48" ht="18" customHeight="1">
      <c r="A116" s="6" t="s">
        <v>759</v>
      </c>
      <c r="B116" s="60">
        <v>45644</v>
      </c>
      <c r="C116" s="6" t="s">
        <v>880</v>
      </c>
      <c r="D116" s="30">
        <v>17</v>
      </c>
      <c r="E116" s="6" t="s">
        <v>859</v>
      </c>
      <c r="F116" s="6" t="s">
        <v>860</v>
      </c>
      <c r="G116" s="30" t="s">
        <v>1057</v>
      </c>
      <c r="H116" s="6" t="str">
        <f>IFERROR(VLOOKUP(C116,DATA!$A$11:$L$64,3,FALSE),"")</f>
        <v>FRESH LONGAN</v>
      </c>
      <c r="I116" s="32" t="s">
        <v>1058</v>
      </c>
      <c r="J116" s="32" t="s">
        <v>1057</v>
      </c>
      <c r="K116" s="32" t="s">
        <v>1059</v>
      </c>
      <c r="L116" s="62" t="s">
        <v>759</v>
      </c>
      <c r="M116" s="191">
        <f>IFERROR(VLOOKUP(C116,DATA!$A$11:$L$71,4,FALSE),"")</f>
        <v>1.2</v>
      </c>
      <c r="N116" s="192">
        <f>IFERROR(VLOOKUP(C116,DATA!$A$11:$L$71,5,FALSE),"")</f>
        <v>1.1200000000000001</v>
      </c>
      <c r="O116" s="192">
        <f>IFERROR(VLOOKUP(C116,DATA!$A$11:$L$71,6,FALSE),"")</f>
        <v>13</v>
      </c>
      <c r="P116" s="192">
        <f>IFERROR(VLOOKUP(C116,DATA!$A$11:$L$71,7,FALSE),"")</f>
        <v>11.5</v>
      </c>
      <c r="Q116" s="193">
        <f>IFERROR(VLOOKUP(C116,DATA!$A$11:$L$71,8,FALSE),"")</f>
        <v>2200</v>
      </c>
      <c r="R116" s="194" t="str">
        <f>IFERROR(VLOOKUP(C116,DATA!$A$11:$L$71,9,FALSE),"")</f>
        <v>PLASTIC BASKETS</v>
      </c>
      <c r="S116" s="195">
        <f>IFERROR(VLOOKUP(C116,DATA!$A$11:$L$71,10,FALSE),"")</f>
        <v>2</v>
      </c>
      <c r="T116" s="290" t="s">
        <v>86</v>
      </c>
      <c r="U116" s="32" t="str">
        <f>IFERROR(VLOOKUP(C116,DATA!$A$11:$L$71,12,FALSE),"")</f>
        <v>BEIJING JUNYAO INTERNATIONAL</v>
      </c>
      <c r="V116" s="6" t="s">
        <v>190</v>
      </c>
      <c r="W116" s="6" t="s">
        <v>915</v>
      </c>
      <c r="X116" s="6" t="s">
        <v>192</v>
      </c>
      <c r="Y116" s="6" t="s">
        <v>193</v>
      </c>
      <c r="Z116" s="60">
        <v>45644</v>
      </c>
      <c r="AA116" s="60" t="s">
        <v>1060</v>
      </c>
      <c r="AB116" s="64">
        <v>45650</v>
      </c>
      <c r="AC116" s="64">
        <v>45655</v>
      </c>
      <c r="AD116" s="6" t="s">
        <v>13</v>
      </c>
      <c r="AE116" s="6" t="s">
        <v>1061</v>
      </c>
      <c r="AF116" s="65" t="s">
        <v>867</v>
      </c>
      <c r="AG116" s="65" t="s">
        <v>974</v>
      </c>
      <c r="AH116" s="65" t="s">
        <v>975</v>
      </c>
      <c r="AI116" s="65" t="s">
        <v>976</v>
      </c>
      <c r="AJ116" s="65" t="s">
        <v>197</v>
      </c>
      <c r="AK116" s="66">
        <v>45644</v>
      </c>
      <c r="AL116" s="66">
        <v>45649</v>
      </c>
      <c r="AM116" s="66"/>
      <c r="AN116" s="67"/>
      <c r="AO116" s="67"/>
      <c r="AP116" s="67">
        <f t="shared" si="5"/>
        <v>0</v>
      </c>
      <c r="AQ116" s="59"/>
    </row>
    <row r="117" spans="1:48" ht="18" customHeight="1">
      <c r="A117" s="6" t="s">
        <v>760</v>
      </c>
      <c r="B117" s="60">
        <v>45647</v>
      </c>
      <c r="C117" s="6" t="s">
        <v>880</v>
      </c>
      <c r="D117" s="30">
        <v>18</v>
      </c>
      <c r="E117" s="6" t="s">
        <v>859</v>
      </c>
      <c r="F117" s="6" t="s">
        <v>860</v>
      </c>
      <c r="G117" s="30" t="s">
        <v>1062</v>
      </c>
      <c r="H117" s="6" t="str">
        <f>IFERROR(VLOOKUP(C117,DATA!$A$11:$L$64,3,FALSE),"")</f>
        <v>FRESH LONGAN</v>
      </c>
      <c r="I117" s="32" t="s">
        <v>1064</v>
      </c>
      <c r="J117" s="32" t="s">
        <v>1062</v>
      </c>
      <c r="K117" s="32" t="s">
        <v>1063</v>
      </c>
      <c r="L117" s="62" t="s">
        <v>760</v>
      </c>
      <c r="M117" s="191">
        <f>IFERROR(VLOOKUP(C117,DATA!$A$11:$L$71,4,FALSE),"")</f>
        <v>1.2</v>
      </c>
      <c r="N117" s="192">
        <f>IFERROR(VLOOKUP(C117,DATA!$A$11:$L$71,5,FALSE),"")</f>
        <v>1.1200000000000001</v>
      </c>
      <c r="O117" s="192">
        <f>IFERROR(VLOOKUP(C117,DATA!$A$11:$L$71,6,FALSE),"")</f>
        <v>13</v>
      </c>
      <c r="P117" s="192">
        <f>IFERROR(VLOOKUP(C117,DATA!$A$11:$L$71,7,FALSE),"")</f>
        <v>11.5</v>
      </c>
      <c r="Q117" s="193">
        <f>IFERROR(VLOOKUP(C117,DATA!$A$11:$L$71,8,FALSE),"")</f>
        <v>2200</v>
      </c>
      <c r="R117" s="194" t="str">
        <f>IFERROR(VLOOKUP(C117,DATA!$A$11:$L$71,9,FALSE),"")</f>
        <v>PLASTIC BASKETS</v>
      </c>
      <c r="S117" s="195">
        <f>IFERROR(VLOOKUP(C117,DATA!$A$11:$L$71,10,FALSE),"")</f>
        <v>2</v>
      </c>
      <c r="T117" s="290" t="s">
        <v>86</v>
      </c>
      <c r="U117" s="32" t="str">
        <f>IFERROR(VLOOKUP(C117,DATA!$A$11:$L$71,12,FALSE),"")</f>
        <v>BEIJING JUNYAO INTERNATIONAL</v>
      </c>
      <c r="V117" s="6" t="s">
        <v>190</v>
      </c>
      <c r="W117" s="6" t="s">
        <v>909</v>
      </c>
      <c r="X117" s="6" t="s">
        <v>192</v>
      </c>
      <c r="Y117" s="286" t="s">
        <v>912</v>
      </c>
      <c r="Z117" s="60">
        <v>45647</v>
      </c>
      <c r="AA117" s="60" t="s">
        <v>1065</v>
      </c>
      <c r="AB117" s="64">
        <v>45653</v>
      </c>
      <c r="AC117" s="64">
        <v>45659</v>
      </c>
      <c r="AD117" s="6" t="s">
        <v>13</v>
      </c>
      <c r="AE117" s="6" t="s">
        <v>1066</v>
      </c>
      <c r="AF117" s="65" t="s">
        <v>867</v>
      </c>
      <c r="AG117" s="65" t="s">
        <v>1067</v>
      </c>
      <c r="AH117" s="65" t="s">
        <v>1068</v>
      </c>
      <c r="AI117" s="65" t="s">
        <v>1069</v>
      </c>
      <c r="AJ117" s="65" t="s">
        <v>197</v>
      </c>
      <c r="AK117" s="66">
        <v>45647</v>
      </c>
      <c r="AL117" s="66">
        <v>45651</v>
      </c>
      <c r="AM117" s="66"/>
      <c r="AN117" s="67"/>
      <c r="AO117" s="67"/>
      <c r="AP117" s="67">
        <f t="shared" si="5"/>
        <v>0</v>
      </c>
      <c r="AQ117" s="59"/>
    </row>
    <row r="118" spans="1:48" s="273" customFormat="1" ht="18" customHeight="1">
      <c r="A118" s="256" t="s">
        <v>761</v>
      </c>
      <c r="B118" s="257">
        <v>45647</v>
      </c>
      <c r="C118" s="256" t="s">
        <v>142</v>
      </c>
      <c r="D118" s="258">
        <v>8</v>
      </c>
      <c r="E118" s="256" t="s">
        <v>959</v>
      </c>
      <c r="F118" s="256" t="s">
        <v>227</v>
      </c>
      <c r="G118" s="258" t="s">
        <v>1074</v>
      </c>
      <c r="H118" s="256" t="str">
        <f>IFERROR(VLOOKUP(C118,DATA!$A$11:$L$64,3,FALSE),"")</f>
        <v>FRESH LONGAN</v>
      </c>
      <c r="I118" s="259" t="s">
        <v>1070</v>
      </c>
      <c r="J118" s="259" t="s">
        <v>1074</v>
      </c>
      <c r="K118" s="259" t="s">
        <v>1075</v>
      </c>
      <c r="L118" s="261" t="s">
        <v>761</v>
      </c>
      <c r="M118" s="262">
        <f>IFERROR(VLOOKUP(C118,DATA!$A$11:$L$71,4,FALSE),"")</f>
        <v>1.2</v>
      </c>
      <c r="N118" s="263">
        <f>IFERROR(VLOOKUP(C118,DATA!$A$11:$L$71,5,FALSE),"")</f>
        <v>1.1200000000000001</v>
      </c>
      <c r="O118" s="263">
        <f>IFERROR(VLOOKUP(C118,DATA!$A$11:$L$71,6,FALSE),"")</f>
        <v>13</v>
      </c>
      <c r="P118" s="263">
        <f>IFERROR(VLOOKUP(C118,DATA!$A$11:$L$71,7,FALSE),"")</f>
        <v>11.5</v>
      </c>
      <c r="Q118" s="264">
        <f>IFERROR(VLOOKUP(C118,DATA!$A$11:$L$71,8,FALSE),"")</f>
        <v>2200</v>
      </c>
      <c r="R118" s="265" t="str">
        <f>IFERROR(VLOOKUP(C118,DATA!$A$11:$L$71,9,FALSE),"")</f>
        <v>PLASTIC BASKETS</v>
      </c>
      <c r="S118" s="266">
        <f>IFERROR(VLOOKUP(C118,DATA!$A$11:$L$71,10,FALSE),"")</f>
        <v>2</v>
      </c>
      <c r="T118" s="291" t="s">
        <v>136</v>
      </c>
      <c r="U118" s="259" t="str">
        <f>IFERROR(VLOOKUP(C118,DATA!$A$11:$L$71,12,FALSE),"")</f>
        <v>BEIJING JUNYAO INTERNATIONAL</v>
      </c>
      <c r="V118" s="256" t="s">
        <v>190</v>
      </c>
      <c r="W118" s="256" t="s">
        <v>909</v>
      </c>
      <c r="X118" s="256" t="s">
        <v>192</v>
      </c>
      <c r="Y118" s="256" t="s">
        <v>912</v>
      </c>
      <c r="Z118" s="257">
        <v>45647</v>
      </c>
      <c r="AA118" s="257" t="s">
        <v>1065</v>
      </c>
      <c r="AB118" s="268">
        <v>45653</v>
      </c>
      <c r="AC118" s="268">
        <v>45659</v>
      </c>
      <c r="AD118" s="256" t="s">
        <v>13</v>
      </c>
      <c r="AE118" s="256" t="s">
        <v>1066</v>
      </c>
      <c r="AF118" s="269" t="s">
        <v>867</v>
      </c>
      <c r="AG118" s="269" t="s">
        <v>1071</v>
      </c>
      <c r="AH118" s="269" t="s">
        <v>1072</v>
      </c>
      <c r="AI118" s="269" t="s">
        <v>1073</v>
      </c>
      <c r="AJ118" s="269" t="s">
        <v>197</v>
      </c>
      <c r="AK118" s="270">
        <v>45647</v>
      </c>
      <c r="AL118" s="270">
        <v>45651</v>
      </c>
      <c r="AM118" s="270"/>
      <c r="AN118" s="271"/>
      <c r="AO118" s="271"/>
      <c r="AP118" s="271">
        <f t="shared" ref="AP118:AP119" si="8">AN118+AO118</f>
        <v>0</v>
      </c>
      <c r="AQ118" s="272"/>
      <c r="AS118" s="543"/>
      <c r="AT118" s="613"/>
      <c r="AU118" s="591"/>
      <c r="AV118" s="591"/>
    </row>
    <row r="119" spans="1:48" s="273" customFormat="1" ht="18" customHeight="1">
      <c r="A119" s="256" t="s">
        <v>1078</v>
      </c>
      <c r="B119" s="257">
        <v>45650</v>
      </c>
      <c r="C119" s="256" t="s">
        <v>142</v>
      </c>
      <c r="D119" s="258">
        <v>9</v>
      </c>
      <c r="E119" s="256" t="s">
        <v>959</v>
      </c>
      <c r="F119" s="256" t="s">
        <v>227</v>
      </c>
      <c r="G119" s="258" t="s">
        <v>1080</v>
      </c>
      <c r="H119" s="256" t="str">
        <f>IFERROR(VLOOKUP(C119,DATA!$A$11:$L$64,3,FALSE),"")</f>
        <v>FRESH LONGAN</v>
      </c>
      <c r="I119" s="259" t="s">
        <v>1082</v>
      </c>
      <c r="J119" s="259" t="s">
        <v>1080</v>
      </c>
      <c r="K119" s="259" t="s">
        <v>1081</v>
      </c>
      <c r="L119" s="261" t="s">
        <v>1078</v>
      </c>
      <c r="M119" s="262">
        <f>IFERROR(VLOOKUP(C119,DATA!$A$11:$L$71,4,FALSE),"")</f>
        <v>1.2</v>
      </c>
      <c r="N119" s="263">
        <f>IFERROR(VLOOKUP(C119,DATA!$A$11:$L$71,5,FALSE),"")</f>
        <v>1.1200000000000001</v>
      </c>
      <c r="O119" s="310">
        <v>2.2000000000000002</v>
      </c>
      <c r="P119" s="310">
        <v>2</v>
      </c>
      <c r="Q119" s="311">
        <v>3860</v>
      </c>
      <c r="R119" s="265" t="str">
        <f>IFERROR(VLOOKUP(C119,DATA!$A$11:$L$71,9,FALSE),"")</f>
        <v>PLASTIC BASKETS</v>
      </c>
      <c r="S119" s="266">
        <f>IFERROR(VLOOKUP(C119,DATA!$A$11:$L$71,10,FALSE),"")</f>
        <v>2</v>
      </c>
      <c r="T119" s="291" t="s">
        <v>136</v>
      </c>
      <c r="U119" s="259" t="str">
        <f>IFERROR(VLOOKUP(C119,DATA!$A$11:$L$71,12,FALSE),"")</f>
        <v>BEIJING JUNYAO INTERNATIONAL</v>
      </c>
      <c r="V119" s="256" t="s">
        <v>1083</v>
      </c>
      <c r="W119" s="256" t="s">
        <v>915</v>
      </c>
      <c r="X119" s="256" t="s">
        <v>192</v>
      </c>
      <c r="Y119" s="256" t="s">
        <v>193</v>
      </c>
      <c r="Z119" s="257">
        <v>45650</v>
      </c>
      <c r="AA119" s="257" t="s">
        <v>1093</v>
      </c>
      <c r="AB119" s="268" t="s">
        <v>1094</v>
      </c>
      <c r="AC119" s="268">
        <v>45662</v>
      </c>
      <c r="AD119" s="256" t="s">
        <v>1085</v>
      </c>
      <c r="AE119" s="256" t="s">
        <v>1089</v>
      </c>
      <c r="AF119" s="269" t="s">
        <v>867</v>
      </c>
      <c r="AG119" s="269" t="s">
        <v>1013</v>
      </c>
      <c r="AH119" s="269" t="s">
        <v>1014</v>
      </c>
      <c r="AI119" s="269" t="s">
        <v>1084</v>
      </c>
      <c r="AJ119" s="269" t="s">
        <v>197</v>
      </c>
      <c r="AK119" s="270">
        <v>45651</v>
      </c>
      <c r="AL119" s="270" t="s">
        <v>1111</v>
      </c>
      <c r="AM119" s="270"/>
      <c r="AN119" s="271"/>
      <c r="AO119" s="271"/>
      <c r="AP119" s="271">
        <f t="shared" si="8"/>
        <v>0</v>
      </c>
      <c r="AQ119" s="272"/>
      <c r="AS119" s="543"/>
      <c r="AT119" s="613"/>
      <c r="AU119" s="591"/>
      <c r="AV119" s="591"/>
    </row>
    <row r="120" spans="1:48" s="309" customFormat="1" ht="18" customHeight="1">
      <c r="A120" s="249" t="s">
        <v>1079</v>
      </c>
      <c r="B120" s="250">
        <v>45650</v>
      </c>
      <c r="C120" s="249" t="s">
        <v>880</v>
      </c>
      <c r="D120" s="253">
        <v>19</v>
      </c>
      <c r="E120" s="249" t="s">
        <v>859</v>
      </c>
      <c r="F120" s="249" t="s">
        <v>860</v>
      </c>
      <c r="G120" s="253" t="s">
        <v>1086</v>
      </c>
      <c r="H120" s="249" t="str">
        <f>IFERROR(VLOOKUP(C120,DATA!$A$11:$L$64,3,FALSE),"")</f>
        <v>FRESH LONGAN</v>
      </c>
      <c r="I120" s="296" t="s">
        <v>1087</v>
      </c>
      <c r="J120" s="296" t="s">
        <v>1086</v>
      </c>
      <c r="K120" s="296" t="s">
        <v>1088</v>
      </c>
      <c r="L120" s="297" t="s">
        <v>1079</v>
      </c>
      <c r="M120" s="298">
        <f>IFERROR(VLOOKUP(C120,DATA!$A$11:$L$71,4,FALSE),"")</f>
        <v>1.2</v>
      </c>
      <c r="N120" s="299">
        <f>IFERROR(VLOOKUP(C120,DATA!$A$11:$L$71,5,FALSE),"")</f>
        <v>1.1200000000000001</v>
      </c>
      <c r="O120" s="299">
        <f>IFERROR(VLOOKUP(C120,DATA!$A$11:$L$71,6,FALSE),"")</f>
        <v>13</v>
      </c>
      <c r="P120" s="299">
        <f>IFERROR(VLOOKUP(C120,DATA!$A$11:$L$71,7,FALSE),"")</f>
        <v>11.5</v>
      </c>
      <c r="Q120" s="300">
        <f>IFERROR(VLOOKUP(C120,DATA!$A$11:$L$71,8,FALSE),"")</f>
        <v>2200</v>
      </c>
      <c r="R120" s="301" t="str">
        <f>IFERROR(VLOOKUP(C120,DATA!$A$11:$L$71,9,FALSE),"")</f>
        <v>PLASTIC BASKETS</v>
      </c>
      <c r="S120" s="302">
        <f>IFERROR(VLOOKUP(C120,DATA!$A$11:$L$71,10,FALSE),"")</f>
        <v>2</v>
      </c>
      <c r="T120" s="303" t="s">
        <v>86</v>
      </c>
      <c r="U120" s="296" t="str">
        <f>IFERROR(VLOOKUP(C120,DATA!$A$11:$L$71,12,FALSE),"")</f>
        <v>BEIJING JUNYAO INTERNATIONAL</v>
      </c>
      <c r="V120" s="249" t="s">
        <v>1083</v>
      </c>
      <c r="W120" s="249" t="s">
        <v>915</v>
      </c>
      <c r="X120" s="249" t="s">
        <v>192</v>
      </c>
      <c r="Y120" s="249" t="s">
        <v>193</v>
      </c>
      <c r="Z120" s="250">
        <v>45650</v>
      </c>
      <c r="AA120" s="250" t="s">
        <v>1093</v>
      </c>
      <c r="AB120" s="304" t="s">
        <v>1094</v>
      </c>
      <c r="AC120" s="304">
        <v>45662</v>
      </c>
      <c r="AD120" s="249" t="s">
        <v>1085</v>
      </c>
      <c r="AE120" s="249" t="s">
        <v>1089</v>
      </c>
      <c r="AF120" s="305" t="s">
        <v>867</v>
      </c>
      <c r="AG120" s="305" t="s">
        <v>1090</v>
      </c>
      <c r="AH120" s="305" t="s">
        <v>1091</v>
      </c>
      <c r="AI120" s="305" t="s">
        <v>1092</v>
      </c>
      <c r="AJ120" s="305" t="s">
        <v>197</v>
      </c>
      <c r="AK120" s="306">
        <v>45651</v>
      </c>
      <c r="AL120" s="306" t="s">
        <v>1112</v>
      </c>
      <c r="AM120" s="306"/>
      <c r="AN120" s="307"/>
      <c r="AO120" s="307"/>
      <c r="AP120" s="307">
        <f t="shared" si="5"/>
        <v>0</v>
      </c>
      <c r="AQ120" s="308"/>
      <c r="AS120" s="544"/>
      <c r="AT120" s="614"/>
      <c r="AU120" s="592"/>
      <c r="AV120" s="592"/>
    </row>
    <row r="121" spans="1:48" s="309" customFormat="1" ht="18" customHeight="1">
      <c r="A121" s="249" t="s">
        <v>1097</v>
      </c>
      <c r="B121" s="250">
        <v>45651</v>
      </c>
      <c r="C121" s="249" t="s">
        <v>880</v>
      </c>
      <c r="D121" s="253">
        <v>20</v>
      </c>
      <c r="E121" s="249" t="s">
        <v>859</v>
      </c>
      <c r="F121" s="249" t="s">
        <v>860</v>
      </c>
      <c r="G121" s="253" t="s">
        <v>1099</v>
      </c>
      <c r="H121" s="249" t="str">
        <f>IFERROR(VLOOKUP(C121,DATA!$A$11:$L$64,3,FALSE),"")</f>
        <v>FRESH LONGAN</v>
      </c>
      <c r="I121" s="296" t="s">
        <v>1101</v>
      </c>
      <c r="J121" s="296" t="s">
        <v>1099</v>
      </c>
      <c r="K121" s="296" t="s">
        <v>1100</v>
      </c>
      <c r="L121" s="297" t="s">
        <v>1097</v>
      </c>
      <c r="M121" s="298">
        <f>IFERROR(VLOOKUP(C121,DATA!$A$11:$L$71,4,FALSE),"")</f>
        <v>1.2</v>
      </c>
      <c r="N121" s="299">
        <f>IFERROR(VLOOKUP(C121,DATA!$A$11:$L$71,5,FALSE),"")</f>
        <v>1.1200000000000001</v>
      </c>
      <c r="O121" s="299">
        <f>IFERROR(VLOOKUP(C121,DATA!$A$11:$L$71,6,FALSE),"")</f>
        <v>13</v>
      </c>
      <c r="P121" s="299">
        <f>IFERROR(VLOOKUP(C121,DATA!$A$11:$L$71,7,FALSE),"")</f>
        <v>11.5</v>
      </c>
      <c r="Q121" s="300">
        <f>IFERROR(VLOOKUP(C121,DATA!$A$11:$L$71,8,FALSE),"")</f>
        <v>2200</v>
      </c>
      <c r="R121" s="301" t="str">
        <f>IFERROR(VLOOKUP(C121,DATA!$A$11:$L$71,9,FALSE),"")</f>
        <v>PLASTIC BASKETS</v>
      </c>
      <c r="S121" s="302">
        <f>IFERROR(VLOOKUP(C121,DATA!$A$11:$L$71,10,FALSE),"")</f>
        <v>2</v>
      </c>
      <c r="T121" s="303" t="s">
        <v>86</v>
      </c>
      <c r="U121" s="296" t="str">
        <f>IFERROR(VLOOKUP(C121,DATA!$A$11:$L$71,12,FALSE),"")</f>
        <v>BEIJING JUNYAO INTERNATIONAL</v>
      </c>
      <c r="V121" s="249" t="s">
        <v>1083</v>
      </c>
      <c r="W121" s="249" t="s">
        <v>915</v>
      </c>
      <c r="X121" s="249" t="s">
        <v>192</v>
      </c>
      <c r="Y121" s="249" t="s">
        <v>193</v>
      </c>
      <c r="Z121" s="250">
        <v>45651</v>
      </c>
      <c r="AA121" s="250" t="s">
        <v>1110</v>
      </c>
      <c r="AB121" s="304">
        <v>45661</v>
      </c>
      <c r="AC121" s="304">
        <v>45666</v>
      </c>
      <c r="AD121" s="249" t="s">
        <v>1085</v>
      </c>
      <c r="AE121" s="249" t="s">
        <v>1102</v>
      </c>
      <c r="AF121" s="305" t="s">
        <v>867</v>
      </c>
      <c r="AG121" s="305" t="s">
        <v>922</v>
      </c>
      <c r="AH121" s="305" t="s">
        <v>921</v>
      </c>
      <c r="AI121" s="305" t="s">
        <v>1103</v>
      </c>
      <c r="AJ121" s="305" t="s">
        <v>197</v>
      </c>
      <c r="AK121" s="306">
        <v>45651</v>
      </c>
      <c r="AL121" s="306">
        <v>45659</v>
      </c>
      <c r="AM121" s="306"/>
      <c r="AN121" s="307"/>
      <c r="AO121" s="307"/>
      <c r="AP121" s="307">
        <f t="shared" ref="AP121" si="9">AN121+AO121</f>
        <v>0</v>
      </c>
      <c r="AQ121" s="308"/>
      <c r="AS121" s="544"/>
      <c r="AT121" s="614"/>
      <c r="AU121" s="592"/>
      <c r="AV121" s="592"/>
    </row>
    <row r="122" spans="1:48" s="273" customFormat="1" ht="18" customHeight="1">
      <c r="A122" s="256" t="s">
        <v>1098</v>
      </c>
      <c r="B122" s="257">
        <v>45651</v>
      </c>
      <c r="C122" s="256" t="s">
        <v>142</v>
      </c>
      <c r="D122" s="258">
        <v>10</v>
      </c>
      <c r="E122" s="256" t="s">
        <v>959</v>
      </c>
      <c r="F122" s="256" t="s">
        <v>227</v>
      </c>
      <c r="G122" s="258" t="s">
        <v>1104</v>
      </c>
      <c r="H122" s="256" t="str">
        <f>IFERROR(VLOOKUP(C122,DATA!$A$11:$L$64,3,FALSE),"")</f>
        <v>FRESH LONGAN</v>
      </c>
      <c r="I122" s="259" t="s">
        <v>1105</v>
      </c>
      <c r="J122" s="259" t="s">
        <v>1104</v>
      </c>
      <c r="K122" s="259" t="s">
        <v>1106</v>
      </c>
      <c r="L122" s="261" t="s">
        <v>1098</v>
      </c>
      <c r="M122" s="262">
        <f>IFERROR(VLOOKUP(C122,DATA!$A$11:$L$71,4,FALSE),"")</f>
        <v>1.2</v>
      </c>
      <c r="N122" s="263">
        <f>IFERROR(VLOOKUP(C122,DATA!$A$11:$L$71,5,FALSE),"")</f>
        <v>1.1200000000000001</v>
      </c>
      <c r="O122" s="263">
        <f>IFERROR(VLOOKUP(C122,DATA!$A$11:$L$71,6,FALSE),"")</f>
        <v>13</v>
      </c>
      <c r="P122" s="263">
        <f>IFERROR(VLOOKUP(C122,DATA!$A$11:$L$71,7,FALSE),"")</f>
        <v>11.5</v>
      </c>
      <c r="Q122" s="264">
        <f>IFERROR(VLOOKUP(C122,DATA!$A$11:$L$71,8,FALSE),"")</f>
        <v>2200</v>
      </c>
      <c r="R122" s="265" t="str">
        <f>IFERROR(VLOOKUP(C122,DATA!$A$11:$L$71,9,FALSE),"")</f>
        <v>PLASTIC BASKETS</v>
      </c>
      <c r="S122" s="266">
        <f>IFERROR(VLOOKUP(C122,DATA!$A$11:$L$71,10,FALSE),"")</f>
        <v>2</v>
      </c>
      <c r="T122" s="291" t="s">
        <v>136</v>
      </c>
      <c r="U122" s="259" t="str">
        <f>IFERROR(VLOOKUP(C122,DATA!$A$11:$L$71,12,FALSE),"")</f>
        <v>BEIJING JUNYAO INTERNATIONAL</v>
      </c>
      <c r="V122" s="256" t="s">
        <v>1083</v>
      </c>
      <c r="W122" s="256" t="s">
        <v>915</v>
      </c>
      <c r="X122" s="256" t="s">
        <v>192</v>
      </c>
      <c r="Y122" s="256" t="s">
        <v>193</v>
      </c>
      <c r="Z122" s="257">
        <v>45651</v>
      </c>
      <c r="AA122" s="257" t="s">
        <v>1110</v>
      </c>
      <c r="AB122" s="268">
        <v>45661</v>
      </c>
      <c r="AC122" s="268">
        <v>45666</v>
      </c>
      <c r="AD122" s="256" t="s">
        <v>1085</v>
      </c>
      <c r="AE122" s="256" t="s">
        <v>1102</v>
      </c>
      <c r="AF122" s="269" t="s">
        <v>867</v>
      </c>
      <c r="AG122" s="269" t="s">
        <v>1107</v>
      </c>
      <c r="AH122" s="269" t="s">
        <v>1108</v>
      </c>
      <c r="AI122" s="269" t="s">
        <v>1109</v>
      </c>
      <c r="AJ122" s="269" t="s">
        <v>197</v>
      </c>
      <c r="AK122" s="270">
        <v>45651</v>
      </c>
      <c r="AL122" s="270">
        <v>45658</v>
      </c>
      <c r="AM122" s="270"/>
      <c r="AN122" s="271"/>
      <c r="AO122" s="271"/>
      <c r="AP122" s="271">
        <f t="shared" ref="AP122" si="10">AN122+AO122</f>
        <v>0</v>
      </c>
      <c r="AQ122" s="272"/>
      <c r="AS122" s="543"/>
      <c r="AT122" s="613"/>
      <c r="AU122" s="591"/>
      <c r="AV122" s="591"/>
    </row>
    <row r="123" spans="1:48" s="309" customFormat="1" ht="18" customHeight="1">
      <c r="A123" s="249" t="s">
        <v>1113</v>
      </c>
      <c r="B123" s="250">
        <v>45661</v>
      </c>
      <c r="C123" s="249" t="s">
        <v>880</v>
      </c>
      <c r="D123" s="253">
        <v>21</v>
      </c>
      <c r="E123" s="249" t="s">
        <v>859</v>
      </c>
      <c r="F123" s="249" t="s">
        <v>860</v>
      </c>
      <c r="G123" s="253" t="s">
        <v>1124</v>
      </c>
      <c r="H123" s="249" t="str">
        <f>IFERROR(VLOOKUP(C123,DATA!$A$11:$L$64,3,FALSE),"")</f>
        <v>FRESH LONGAN</v>
      </c>
      <c r="I123" s="296" t="s">
        <v>1126</v>
      </c>
      <c r="J123" s="296" t="s">
        <v>1124</v>
      </c>
      <c r="K123" s="296" t="s">
        <v>1125</v>
      </c>
      <c r="L123" s="297" t="s">
        <v>1113</v>
      </c>
      <c r="M123" s="298">
        <f>IFERROR(VLOOKUP(C123,DATA!$A$11:$L$71,4,FALSE),"")</f>
        <v>1.2</v>
      </c>
      <c r="N123" s="299">
        <f>IFERROR(VLOOKUP(C123,DATA!$A$11:$L$71,5,FALSE),"")</f>
        <v>1.1200000000000001</v>
      </c>
      <c r="O123" s="299">
        <f>IFERROR(VLOOKUP(C123,DATA!$A$11:$L$71,6,FALSE),"")</f>
        <v>13</v>
      </c>
      <c r="P123" s="299">
        <f>IFERROR(VLOOKUP(C123,DATA!$A$11:$L$71,7,FALSE),"")</f>
        <v>11.5</v>
      </c>
      <c r="Q123" s="313">
        <v>2250</v>
      </c>
      <c r="R123" s="301" t="str">
        <f>IFERROR(VLOOKUP(C123,DATA!$A$11:$L$71,9,FALSE),"")</f>
        <v>PLASTIC BASKETS</v>
      </c>
      <c r="S123" s="302">
        <f>IFERROR(VLOOKUP(C123,DATA!$A$11:$L$71,10,FALSE),"")</f>
        <v>2</v>
      </c>
      <c r="T123" s="303" t="s">
        <v>86</v>
      </c>
      <c r="U123" s="296" t="str">
        <f>IFERROR(VLOOKUP(C123,DATA!$A$11:$L$71,12,FALSE),"")</f>
        <v>BEIJING JUNYAO INTERNATIONAL</v>
      </c>
      <c r="V123" s="249" t="s">
        <v>1083</v>
      </c>
      <c r="W123" s="249" t="s">
        <v>915</v>
      </c>
      <c r="X123" s="249" t="s">
        <v>192</v>
      </c>
      <c r="Y123" s="249" t="s">
        <v>193</v>
      </c>
      <c r="Z123" s="250">
        <v>45661</v>
      </c>
      <c r="AA123" s="250" t="s">
        <v>1127</v>
      </c>
      <c r="AB123" s="304">
        <v>45669</v>
      </c>
      <c r="AC123" s="304">
        <v>45673</v>
      </c>
      <c r="AD123" s="249" t="s">
        <v>1085</v>
      </c>
      <c r="AE123" s="249" t="s">
        <v>1128</v>
      </c>
      <c r="AF123" s="305" t="s">
        <v>867</v>
      </c>
      <c r="AG123" s="305" t="s">
        <v>1129</v>
      </c>
      <c r="AH123" s="305" t="s">
        <v>1130</v>
      </c>
      <c r="AI123" s="305" t="s">
        <v>1131</v>
      </c>
      <c r="AJ123" s="305" t="s">
        <v>197</v>
      </c>
      <c r="AK123" s="250">
        <v>45661</v>
      </c>
      <c r="AL123" s="250">
        <v>45665</v>
      </c>
      <c r="AM123" s="306"/>
      <c r="AN123" s="307"/>
      <c r="AO123" s="307"/>
      <c r="AP123" s="307">
        <f t="shared" si="5"/>
        <v>0</v>
      </c>
      <c r="AQ123" s="308"/>
      <c r="AS123" s="544"/>
      <c r="AT123" s="614"/>
      <c r="AU123" s="592"/>
      <c r="AV123" s="592"/>
    </row>
    <row r="124" spans="1:48" s="273" customFormat="1" ht="18" customHeight="1">
      <c r="A124" s="256" t="s">
        <v>1114</v>
      </c>
      <c r="B124" s="257">
        <v>45661</v>
      </c>
      <c r="C124" s="256" t="s">
        <v>142</v>
      </c>
      <c r="D124" s="258">
        <v>11</v>
      </c>
      <c r="E124" s="256" t="s">
        <v>959</v>
      </c>
      <c r="F124" s="256" t="s">
        <v>227</v>
      </c>
      <c r="G124" s="258" t="s">
        <v>1132</v>
      </c>
      <c r="H124" s="256" t="str">
        <f>IFERROR(VLOOKUP(C124,DATA!$A$11:$L$64,3,FALSE),"")</f>
        <v>FRESH LONGAN</v>
      </c>
      <c r="I124" s="259" t="s">
        <v>1134</v>
      </c>
      <c r="J124" s="259" t="s">
        <v>1132</v>
      </c>
      <c r="K124" s="259" t="s">
        <v>1133</v>
      </c>
      <c r="L124" s="261" t="s">
        <v>1114</v>
      </c>
      <c r="M124" s="262">
        <f>IFERROR(VLOOKUP(C124,DATA!$A$11:$L$71,4,FALSE),"")</f>
        <v>1.2</v>
      </c>
      <c r="N124" s="263">
        <f>IFERROR(VLOOKUP(C124,DATA!$A$11:$L$71,5,FALSE),"")</f>
        <v>1.1200000000000001</v>
      </c>
      <c r="O124" s="310">
        <v>2.2999999999999998</v>
      </c>
      <c r="P124" s="310">
        <v>2</v>
      </c>
      <c r="Q124" s="311">
        <v>10300</v>
      </c>
      <c r="R124" s="265" t="str">
        <f>IFERROR(VLOOKUP(C124,DATA!$A$11:$L$71,9,FALSE),"")</f>
        <v>PLASTIC BASKETS</v>
      </c>
      <c r="S124" s="266">
        <f>IFERROR(VLOOKUP(C124,DATA!$A$11:$L$71,10,FALSE),"")</f>
        <v>2</v>
      </c>
      <c r="T124" s="291" t="s">
        <v>136</v>
      </c>
      <c r="U124" s="259" t="str">
        <f>IFERROR(VLOOKUP(C124,DATA!$A$11:$L$71,12,FALSE),"")</f>
        <v>BEIJING JUNYAO INTERNATIONAL</v>
      </c>
      <c r="V124" s="256" t="s">
        <v>1083</v>
      </c>
      <c r="W124" s="256" t="s">
        <v>915</v>
      </c>
      <c r="X124" s="256" t="s">
        <v>192</v>
      </c>
      <c r="Y124" s="256" t="s">
        <v>193</v>
      </c>
      <c r="Z124" s="257">
        <v>45661</v>
      </c>
      <c r="AA124" s="257" t="s">
        <v>1127</v>
      </c>
      <c r="AB124" s="268">
        <v>45669</v>
      </c>
      <c r="AC124" s="268">
        <v>45673</v>
      </c>
      <c r="AD124" s="256" t="s">
        <v>1085</v>
      </c>
      <c r="AE124" s="256" t="s">
        <v>1128</v>
      </c>
      <c r="AF124" s="269" t="s">
        <v>867</v>
      </c>
      <c r="AG124" s="269" t="s">
        <v>1107</v>
      </c>
      <c r="AH124" s="269" t="s">
        <v>1135</v>
      </c>
      <c r="AI124" s="269" t="s">
        <v>1109</v>
      </c>
      <c r="AJ124" s="269" t="s">
        <v>197</v>
      </c>
      <c r="AK124" s="270">
        <v>45661</v>
      </c>
      <c r="AL124" s="270">
        <v>45667</v>
      </c>
      <c r="AM124" s="270"/>
      <c r="AN124" s="271"/>
      <c r="AO124" s="271"/>
      <c r="AP124" s="271">
        <f t="shared" si="5"/>
        <v>0</v>
      </c>
      <c r="AQ124" s="272"/>
      <c r="AS124" s="543"/>
      <c r="AT124" s="613"/>
      <c r="AU124" s="591"/>
      <c r="AV124" s="591"/>
    </row>
    <row r="125" spans="1:48" s="309" customFormat="1" ht="18" customHeight="1">
      <c r="A125" s="249" t="s">
        <v>1115</v>
      </c>
      <c r="B125" s="250">
        <v>45666</v>
      </c>
      <c r="C125" s="249" t="s">
        <v>880</v>
      </c>
      <c r="D125" s="253">
        <v>22</v>
      </c>
      <c r="E125" s="249" t="s">
        <v>859</v>
      </c>
      <c r="F125" s="249" t="s">
        <v>860</v>
      </c>
      <c r="G125" s="253" t="s">
        <v>1136</v>
      </c>
      <c r="H125" s="249" t="str">
        <f>IFERROR(VLOOKUP(C125,DATA!$A$11:$L$64,3,FALSE),"")</f>
        <v>FRESH LONGAN</v>
      </c>
      <c r="I125" s="296" t="s">
        <v>1137</v>
      </c>
      <c r="J125" s="314" t="s">
        <v>1136</v>
      </c>
      <c r="K125" s="314" t="s">
        <v>1138</v>
      </c>
      <c r="L125" s="297" t="s">
        <v>1115</v>
      </c>
      <c r="M125" s="298">
        <f>IFERROR(VLOOKUP(C125,DATA!$A$11:$L$71,4,FALSE),"")</f>
        <v>1.2</v>
      </c>
      <c r="N125" s="299">
        <f>IFERROR(VLOOKUP(C125,DATA!$A$11:$L$71,5,FALSE),"")</f>
        <v>1.1200000000000001</v>
      </c>
      <c r="O125" s="299">
        <f>IFERROR(VLOOKUP(C125,DATA!$A$11:$L$71,6,FALSE),"")</f>
        <v>13</v>
      </c>
      <c r="P125" s="299">
        <f>IFERROR(VLOOKUP(C125,DATA!$A$11:$L$71,7,FALSE),"")</f>
        <v>11.5</v>
      </c>
      <c r="Q125" s="300">
        <f>IFERROR(VLOOKUP(C125,DATA!$A$11:$L$71,8,FALSE),"")</f>
        <v>2200</v>
      </c>
      <c r="R125" s="301" t="str">
        <f>IFERROR(VLOOKUP(C125,DATA!$A$11:$L$71,9,FALSE),"")</f>
        <v>PLASTIC BASKETS</v>
      </c>
      <c r="S125" s="302">
        <f>IFERROR(VLOOKUP(C125,DATA!$A$11:$L$71,10,FALSE),"")</f>
        <v>2</v>
      </c>
      <c r="T125" s="303" t="s">
        <v>86</v>
      </c>
      <c r="U125" s="296" t="str">
        <f>IFERROR(VLOOKUP(C125,DATA!$A$11:$L$71,12,FALSE),"")</f>
        <v>BEIJING JUNYAO INTERNATIONAL</v>
      </c>
      <c r="V125" s="249" t="s">
        <v>1083</v>
      </c>
      <c r="W125" s="249" t="s">
        <v>915</v>
      </c>
      <c r="X125" s="249" t="s">
        <v>192</v>
      </c>
      <c r="Y125" s="249" t="s">
        <v>193</v>
      </c>
      <c r="Z125" s="250">
        <v>45666</v>
      </c>
      <c r="AA125" s="250" t="s">
        <v>1139</v>
      </c>
      <c r="AB125" s="304">
        <v>45669</v>
      </c>
      <c r="AC125" s="304">
        <v>45673</v>
      </c>
      <c r="AD125" s="249" t="s">
        <v>1085</v>
      </c>
      <c r="AE125" s="249" t="s">
        <v>1128</v>
      </c>
      <c r="AF125" s="305" t="s">
        <v>867</v>
      </c>
      <c r="AG125" s="305" t="s">
        <v>1140</v>
      </c>
      <c r="AH125" s="305" t="s">
        <v>1141</v>
      </c>
      <c r="AI125" s="305" t="s">
        <v>1142</v>
      </c>
      <c r="AJ125" s="305" t="s">
        <v>197</v>
      </c>
      <c r="AK125" s="250">
        <v>45666</v>
      </c>
      <c r="AL125" s="306">
        <v>45668</v>
      </c>
      <c r="AM125" s="306"/>
      <c r="AN125" s="307"/>
      <c r="AO125" s="307"/>
      <c r="AP125" s="307">
        <f t="shared" si="5"/>
        <v>0</v>
      </c>
      <c r="AQ125" s="308"/>
      <c r="AS125" s="544"/>
      <c r="AT125" s="614"/>
      <c r="AU125" s="592"/>
      <c r="AV125" s="592"/>
    </row>
    <row r="126" spans="1:48" s="309" customFormat="1" ht="18" customHeight="1">
      <c r="A126" s="249" t="s">
        <v>1116</v>
      </c>
      <c r="B126" s="250">
        <v>45667</v>
      </c>
      <c r="C126" s="249" t="s">
        <v>880</v>
      </c>
      <c r="D126" s="253">
        <v>23</v>
      </c>
      <c r="E126" s="249" t="s">
        <v>859</v>
      </c>
      <c r="F126" s="249" t="s">
        <v>860</v>
      </c>
      <c r="G126" s="253" t="s">
        <v>1143</v>
      </c>
      <c r="H126" s="249" t="str">
        <f>IFERROR(VLOOKUP(C126,DATA!$A$11:$L$64,3,FALSE),"")</f>
        <v>FRESH LONGAN</v>
      </c>
      <c r="I126" s="314" t="s">
        <v>1145</v>
      </c>
      <c r="J126" s="314" t="s">
        <v>1143</v>
      </c>
      <c r="K126" s="314" t="s">
        <v>1144</v>
      </c>
      <c r="L126" s="297" t="s">
        <v>1116</v>
      </c>
      <c r="M126" s="298">
        <f>IFERROR(VLOOKUP(C126,DATA!$A$11:$L$71,4,FALSE),"")</f>
        <v>1.2</v>
      </c>
      <c r="N126" s="299">
        <f>IFERROR(VLOOKUP(C126,DATA!$A$11:$L$71,5,FALSE),"")</f>
        <v>1.1200000000000001</v>
      </c>
      <c r="O126" s="299">
        <f>IFERROR(VLOOKUP(C126,DATA!$A$11:$L$71,6,FALSE),"")</f>
        <v>13</v>
      </c>
      <c r="P126" s="299">
        <f>IFERROR(VLOOKUP(C126,DATA!$A$11:$L$71,7,FALSE),"")</f>
        <v>11.5</v>
      </c>
      <c r="Q126" s="300">
        <f>IFERROR(VLOOKUP(C126,DATA!$A$11:$L$71,8,FALSE),"")</f>
        <v>2200</v>
      </c>
      <c r="R126" s="301" t="str">
        <f>IFERROR(VLOOKUP(C126,DATA!$A$11:$L$71,9,FALSE),"")</f>
        <v>PLASTIC BASKETS</v>
      </c>
      <c r="S126" s="302">
        <f>IFERROR(VLOOKUP(C126,DATA!$A$11:$L$71,10,FALSE),"")</f>
        <v>2</v>
      </c>
      <c r="T126" s="303" t="s">
        <v>86</v>
      </c>
      <c r="U126" s="296" t="str">
        <f>IFERROR(VLOOKUP(C126,DATA!$A$11:$L$71,12,FALSE),"")</f>
        <v>BEIJING JUNYAO INTERNATIONAL</v>
      </c>
      <c r="V126" s="249" t="s">
        <v>884</v>
      </c>
      <c r="W126" s="249" t="s">
        <v>884</v>
      </c>
      <c r="X126" s="249" t="s">
        <v>192</v>
      </c>
      <c r="Y126" s="249" t="s">
        <v>571</v>
      </c>
      <c r="Z126" s="250">
        <v>45667</v>
      </c>
      <c r="AA126" s="250" t="s">
        <v>1156</v>
      </c>
      <c r="AB126" s="304">
        <v>45675</v>
      </c>
      <c r="AC126" s="304">
        <v>45680</v>
      </c>
      <c r="AD126" s="249" t="s">
        <v>13</v>
      </c>
      <c r="AE126" s="249" t="s">
        <v>1147</v>
      </c>
      <c r="AF126" s="305" t="s">
        <v>867</v>
      </c>
      <c r="AG126" s="305" t="s">
        <v>887</v>
      </c>
      <c r="AH126" s="305" t="s">
        <v>1148</v>
      </c>
      <c r="AI126" s="305" t="s">
        <v>1149</v>
      </c>
      <c r="AJ126" s="305" t="s">
        <v>197</v>
      </c>
      <c r="AK126" s="250">
        <v>45667</v>
      </c>
      <c r="AL126" s="306">
        <v>45671</v>
      </c>
      <c r="AM126" s="306"/>
      <c r="AN126" s="307"/>
      <c r="AO126" s="307"/>
      <c r="AP126" s="307">
        <f t="shared" si="5"/>
        <v>0</v>
      </c>
      <c r="AQ126" s="308"/>
      <c r="AS126" s="544"/>
      <c r="AT126" s="614"/>
      <c r="AU126" s="592"/>
      <c r="AV126" s="592"/>
    </row>
    <row r="127" spans="1:48" s="273" customFormat="1" ht="18" customHeight="1">
      <c r="A127" s="256" t="s">
        <v>1117</v>
      </c>
      <c r="B127" s="257">
        <v>45667</v>
      </c>
      <c r="C127" s="256" t="s">
        <v>142</v>
      </c>
      <c r="D127" s="258">
        <v>12</v>
      </c>
      <c r="E127" s="256" t="s">
        <v>959</v>
      </c>
      <c r="F127" s="256" t="s">
        <v>227</v>
      </c>
      <c r="G127" s="258" t="s">
        <v>1150</v>
      </c>
      <c r="H127" s="256" t="str">
        <f>IFERROR(VLOOKUP(C127,DATA!$A$11:$L$64,3,FALSE),"")</f>
        <v>FRESH LONGAN</v>
      </c>
      <c r="I127" s="315" t="s">
        <v>1152</v>
      </c>
      <c r="J127" s="315" t="s">
        <v>1150</v>
      </c>
      <c r="K127" s="315" t="s">
        <v>1151</v>
      </c>
      <c r="L127" s="261" t="s">
        <v>1117</v>
      </c>
      <c r="M127" s="262">
        <f>IFERROR(VLOOKUP(C127,DATA!$A$11:$L$71,4,FALSE),"")</f>
        <v>1.2</v>
      </c>
      <c r="N127" s="263">
        <f>IFERROR(VLOOKUP(C127,DATA!$A$11:$L$71,5,FALSE),"")</f>
        <v>1.1200000000000001</v>
      </c>
      <c r="O127" s="263">
        <f>IFERROR(VLOOKUP(C127,DATA!$A$11:$L$71,6,FALSE),"")</f>
        <v>13</v>
      </c>
      <c r="P127" s="263">
        <f>IFERROR(VLOOKUP(C127,DATA!$A$11:$L$71,7,FALSE),"")</f>
        <v>11.5</v>
      </c>
      <c r="Q127" s="264">
        <f>IFERROR(VLOOKUP(C127,DATA!$A$11:$L$71,8,FALSE),"")</f>
        <v>2200</v>
      </c>
      <c r="R127" s="265" t="str">
        <f>IFERROR(VLOOKUP(C127,DATA!$A$11:$L$71,9,FALSE),"")</f>
        <v>PLASTIC BASKETS</v>
      </c>
      <c r="S127" s="266">
        <f>IFERROR(VLOOKUP(C127,DATA!$A$11:$L$71,10,FALSE),"")</f>
        <v>2</v>
      </c>
      <c r="T127" s="291" t="s">
        <v>136</v>
      </c>
      <c r="U127" s="259" t="str">
        <f>IFERROR(VLOOKUP(C127,DATA!$A$11:$L$71,12,FALSE),"")</f>
        <v>BEIJING JUNYAO INTERNATIONAL</v>
      </c>
      <c r="V127" s="256" t="s">
        <v>884</v>
      </c>
      <c r="W127" s="256" t="s">
        <v>884</v>
      </c>
      <c r="X127" s="256" t="s">
        <v>192</v>
      </c>
      <c r="Y127" s="256" t="s">
        <v>571</v>
      </c>
      <c r="Z127" s="257">
        <v>45667</v>
      </c>
      <c r="AA127" s="257" t="s">
        <v>1146</v>
      </c>
      <c r="AB127" s="268">
        <v>45674</v>
      </c>
      <c r="AC127" s="268">
        <v>45679</v>
      </c>
      <c r="AD127" s="256" t="s">
        <v>13</v>
      </c>
      <c r="AE127" s="256" t="s">
        <v>1147</v>
      </c>
      <c r="AF127" s="269" t="s">
        <v>867</v>
      </c>
      <c r="AG127" s="269" t="s">
        <v>1153</v>
      </c>
      <c r="AH127" s="269" t="s">
        <v>1154</v>
      </c>
      <c r="AI127" s="269" t="s">
        <v>1155</v>
      </c>
      <c r="AJ127" s="269" t="s">
        <v>197</v>
      </c>
      <c r="AK127" s="270">
        <v>45667</v>
      </c>
      <c r="AL127" s="270">
        <v>45672</v>
      </c>
      <c r="AM127" s="270"/>
      <c r="AN127" s="271"/>
      <c r="AO127" s="271"/>
      <c r="AP127" s="271">
        <f t="shared" si="5"/>
        <v>0</v>
      </c>
      <c r="AQ127" s="272"/>
      <c r="AS127" s="543"/>
      <c r="AT127" s="613"/>
      <c r="AU127" s="591"/>
      <c r="AV127" s="591"/>
    </row>
    <row r="128" spans="1:48" s="309" customFormat="1" ht="18" customHeight="1">
      <c r="A128" s="249" t="s">
        <v>1118</v>
      </c>
      <c r="B128" s="250">
        <v>45671</v>
      </c>
      <c r="C128" s="249" t="s">
        <v>880</v>
      </c>
      <c r="D128" s="253">
        <v>24</v>
      </c>
      <c r="E128" s="249" t="s">
        <v>859</v>
      </c>
      <c r="F128" s="249" t="s">
        <v>860</v>
      </c>
      <c r="G128" s="253" t="s">
        <v>1157</v>
      </c>
      <c r="H128" s="249" t="str">
        <f>IFERROR(VLOOKUP(C128,DATA!$A$11:$L$64,3,FALSE),"")</f>
        <v>FRESH LONGAN</v>
      </c>
      <c r="I128" s="314" t="s">
        <v>1159</v>
      </c>
      <c r="J128" s="314" t="s">
        <v>1157</v>
      </c>
      <c r="K128" s="314" t="s">
        <v>1158</v>
      </c>
      <c r="L128" s="297" t="s">
        <v>1118</v>
      </c>
      <c r="M128" s="298">
        <f>IFERROR(VLOOKUP(C128,DATA!$A$11:$L$71,4,FALSE),"")</f>
        <v>1.2</v>
      </c>
      <c r="N128" s="299">
        <f>IFERROR(VLOOKUP(C128,DATA!$A$11:$L$71,5,FALSE),"")</f>
        <v>1.1200000000000001</v>
      </c>
      <c r="O128" s="299">
        <f>IFERROR(VLOOKUP(C128,DATA!$A$11:$L$71,6,FALSE),"")</f>
        <v>13</v>
      </c>
      <c r="P128" s="299">
        <f>IFERROR(VLOOKUP(C128,DATA!$A$11:$L$71,7,FALSE),"")</f>
        <v>11.5</v>
      </c>
      <c r="Q128" s="300">
        <f>IFERROR(VLOOKUP(C128,DATA!$A$11:$L$71,8,FALSE),"")</f>
        <v>2200</v>
      </c>
      <c r="R128" s="301" t="str">
        <f>IFERROR(VLOOKUP(C128,DATA!$A$11:$L$71,9,FALSE),"")</f>
        <v>PLASTIC BASKETS</v>
      </c>
      <c r="S128" s="302">
        <f>IFERROR(VLOOKUP(C128,DATA!$A$11:$L$71,10,FALSE),"")</f>
        <v>2</v>
      </c>
      <c r="T128" s="303" t="s">
        <v>86</v>
      </c>
      <c r="U128" s="296" t="str">
        <f>IFERROR(VLOOKUP(C128,DATA!$A$11:$L$71,12,FALSE),"")</f>
        <v>BEIJING JUNYAO INTERNATIONAL</v>
      </c>
      <c r="V128" s="249" t="s">
        <v>1083</v>
      </c>
      <c r="W128" s="249" t="s">
        <v>915</v>
      </c>
      <c r="X128" s="249" t="s">
        <v>192</v>
      </c>
      <c r="Y128" s="249" t="s">
        <v>193</v>
      </c>
      <c r="Z128" s="250">
        <v>45671</v>
      </c>
      <c r="AA128" s="250" t="s">
        <v>1163</v>
      </c>
      <c r="AB128" s="304">
        <v>45680</v>
      </c>
      <c r="AC128" s="304">
        <v>45684</v>
      </c>
      <c r="AD128" s="249" t="s">
        <v>1085</v>
      </c>
      <c r="AE128" s="249" t="s">
        <v>1164</v>
      </c>
      <c r="AF128" s="305" t="s">
        <v>1165</v>
      </c>
      <c r="AG128" s="305" t="s">
        <v>1166</v>
      </c>
      <c r="AH128" s="316" t="s">
        <v>1168</v>
      </c>
      <c r="AI128" s="305" t="s">
        <v>1169</v>
      </c>
      <c r="AJ128" s="305" t="s">
        <v>197</v>
      </c>
      <c r="AK128" s="250">
        <v>45671</v>
      </c>
      <c r="AL128" s="250">
        <v>45675</v>
      </c>
      <c r="AM128" s="306"/>
      <c r="AN128" s="307"/>
      <c r="AO128" s="307"/>
      <c r="AP128" s="307">
        <f t="shared" si="5"/>
        <v>0</v>
      </c>
      <c r="AQ128" s="308"/>
      <c r="AS128" s="544"/>
      <c r="AT128" s="614"/>
      <c r="AU128" s="592"/>
      <c r="AV128" s="592"/>
    </row>
    <row r="129" spans="1:48" s="309" customFormat="1" ht="18" customHeight="1">
      <c r="A129" s="249" t="s">
        <v>1119</v>
      </c>
      <c r="B129" s="250">
        <v>45671</v>
      </c>
      <c r="C129" s="249" t="s">
        <v>880</v>
      </c>
      <c r="D129" s="253">
        <v>25</v>
      </c>
      <c r="E129" s="249" t="s">
        <v>859</v>
      </c>
      <c r="F129" s="249" t="s">
        <v>860</v>
      </c>
      <c r="G129" s="253" t="s">
        <v>1160</v>
      </c>
      <c r="H129" s="249" t="str">
        <f>IFERROR(VLOOKUP(C129,DATA!$A$11:$L$64,3,FALSE),"")</f>
        <v>FRESH LONGAN</v>
      </c>
      <c r="I129" s="314" t="s">
        <v>1162</v>
      </c>
      <c r="J129" s="314" t="s">
        <v>1160</v>
      </c>
      <c r="K129" s="314" t="s">
        <v>1161</v>
      </c>
      <c r="L129" s="297" t="s">
        <v>1119</v>
      </c>
      <c r="M129" s="298">
        <f>IFERROR(VLOOKUP(C129,DATA!$A$11:$L$71,4,FALSE),"")</f>
        <v>1.2</v>
      </c>
      <c r="N129" s="299">
        <f>IFERROR(VLOOKUP(C129,DATA!$A$11:$L$71,5,FALSE),"")</f>
        <v>1.1200000000000001</v>
      </c>
      <c r="O129" s="299">
        <f>IFERROR(VLOOKUP(C129,DATA!$A$11:$L$71,6,FALSE),"")</f>
        <v>13</v>
      </c>
      <c r="P129" s="299">
        <f>IFERROR(VLOOKUP(C129,DATA!$A$11:$L$71,7,FALSE),"")</f>
        <v>11.5</v>
      </c>
      <c r="Q129" s="300">
        <f>IFERROR(VLOOKUP(C129,DATA!$A$11:$L$71,8,FALSE),"")</f>
        <v>2200</v>
      </c>
      <c r="R129" s="301" t="str">
        <f>IFERROR(VLOOKUP(C129,DATA!$A$11:$L$71,9,FALSE),"")</f>
        <v>PLASTIC BASKETS</v>
      </c>
      <c r="S129" s="302">
        <f>IFERROR(VLOOKUP(C129,DATA!$A$11:$L$71,10,FALSE),"")</f>
        <v>2</v>
      </c>
      <c r="T129" s="303" t="s">
        <v>86</v>
      </c>
      <c r="U129" s="296" t="str">
        <f>IFERROR(VLOOKUP(C129,DATA!$A$11:$L$71,12,FALSE),"")</f>
        <v>BEIJING JUNYAO INTERNATIONAL</v>
      </c>
      <c r="V129" s="249" t="s">
        <v>1083</v>
      </c>
      <c r="W129" s="249" t="s">
        <v>915</v>
      </c>
      <c r="X129" s="249" t="s">
        <v>192</v>
      </c>
      <c r="Y129" s="249" t="s">
        <v>193</v>
      </c>
      <c r="Z129" s="250">
        <v>45671</v>
      </c>
      <c r="AA129" s="250" t="s">
        <v>1163</v>
      </c>
      <c r="AB129" s="304">
        <v>45680</v>
      </c>
      <c r="AC129" s="304">
        <v>45684</v>
      </c>
      <c r="AD129" s="249" t="s">
        <v>1085</v>
      </c>
      <c r="AE129" s="249" t="s">
        <v>1164</v>
      </c>
      <c r="AF129" s="305" t="s">
        <v>1165</v>
      </c>
      <c r="AG129" s="305" t="s">
        <v>1167</v>
      </c>
      <c r="AH129" s="316" t="s">
        <v>1170</v>
      </c>
      <c r="AI129" s="305" t="s">
        <v>1171</v>
      </c>
      <c r="AJ129" s="305" t="s">
        <v>197</v>
      </c>
      <c r="AK129" s="250">
        <v>45671</v>
      </c>
      <c r="AL129" s="250">
        <v>45676</v>
      </c>
      <c r="AM129" s="306"/>
      <c r="AN129" s="307"/>
      <c r="AO129" s="307"/>
      <c r="AP129" s="307">
        <f t="shared" si="5"/>
        <v>0</v>
      </c>
      <c r="AQ129" s="308"/>
      <c r="AS129" s="544"/>
      <c r="AT129" s="614"/>
      <c r="AU129" s="592"/>
      <c r="AV129" s="592"/>
    </row>
    <row r="130" spans="1:48" s="273" customFormat="1" ht="18" customHeight="1">
      <c r="A130" s="256" t="s">
        <v>1120</v>
      </c>
      <c r="B130" s="257">
        <v>45672</v>
      </c>
      <c r="C130" s="256" t="s">
        <v>142</v>
      </c>
      <c r="D130" s="258">
        <v>13</v>
      </c>
      <c r="E130" s="256" t="s">
        <v>959</v>
      </c>
      <c r="F130" s="256" t="s">
        <v>227</v>
      </c>
      <c r="G130" s="258" t="s">
        <v>1173</v>
      </c>
      <c r="H130" s="256" t="str">
        <f>IFERROR(VLOOKUP(C130,DATA!$A$11:$L$64,3,FALSE),"")</f>
        <v>FRESH LONGAN</v>
      </c>
      <c r="I130" s="315" t="s">
        <v>1172</v>
      </c>
      <c r="J130" s="315" t="s">
        <v>1173</v>
      </c>
      <c r="K130" s="315" t="s">
        <v>1174</v>
      </c>
      <c r="L130" s="261" t="s">
        <v>1120</v>
      </c>
      <c r="M130" s="262">
        <f>IFERROR(VLOOKUP(C130,DATA!$A$11:$L$71,4,FALSE),"")</f>
        <v>1.2</v>
      </c>
      <c r="N130" s="263">
        <f>IFERROR(VLOOKUP(C130,DATA!$A$11:$L$71,5,FALSE),"")</f>
        <v>1.1200000000000001</v>
      </c>
      <c r="O130" s="263">
        <f>IFERROR(VLOOKUP(C130,DATA!$A$11:$L$71,6,FALSE),"")</f>
        <v>13</v>
      </c>
      <c r="P130" s="263">
        <f>IFERROR(VLOOKUP(C130,DATA!$A$11:$L$71,7,FALSE),"")</f>
        <v>11.5</v>
      </c>
      <c r="Q130" s="264">
        <f>IFERROR(VLOOKUP(C130,DATA!$A$11:$L$71,8,FALSE),"")</f>
        <v>2200</v>
      </c>
      <c r="R130" s="265" t="str">
        <f>IFERROR(VLOOKUP(C130,DATA!$A$11:$L$71,9,FALSE),"")</f>
        <v>PLASTIC BASKETS</v>
      </c>
      <c r="S130" s="266">
        <f>IFERROR(VLOOKUP(C130,DATA!$A$11:$L$71,10,FALSE),"")</f>
        <v>2</v>
      </c>
      <c r="T130" s="291" t="s">
        <v>136</v>
      </c>
      <c r="U130" s="259" t="str">
        <f>IFERROR(VLOOKUP(C130,DATA!$A$11:$L$71,12,FALSE),"")</f>
        <v>BEIJING JUNYAO INTERNATIONAL</v>
      </c>
      <c r="V130" s="256" t="s">
        <v>1083</v>
      </c>
      <c r="W130" s="256" t="s">
        <v>915</v>
      </c>
      <c r="X130" s="256" t="s">
        <v>192</v>
      </c>
      <c r="Y130" s="256" t="s">
        <v>193</v>
      </c>
      <c r="Z130" s="257">
        <v>45671</v>
      </c>
      <c r="AA130" s="257" t="s">
        <v>1163</v>
      </c>
      <c r="AB130" s="268">
        <v>45680</v>
      </c>
      <c r="AC130" s="268">
        <v>45684</v>
      </c>
      <c r="AD130" s="256" t="s">
        <v>1085</v>
      </c>
      <c r="AE130" s="256" t="s">
        <v>1164</v>
      </c>
      <c r="AF130" s="269" t="s">
        <v>387</v>
      </c>
      <c r="AG130" s="269" t="s">
        <v>1175</v>
      </c>
      <c r="AH130" s="269" t="s">
        <v>1176</v>
      </c>
      <c r="AI130" s="269" t="s">
        <v>1177</v>
      </c>
      <c r="AJ130" s="269" t="s">
        <v>197</v>
      </c>
      <c r="AK130" s="270">
        <v>45672</v>
      </c>
      <c r="AL130" s="270">
        <v>45677</v>
      </c>
      <c r="AM130" s="270"/>
      <c r="AN130" s="271"/>
      <c r="AO130" s="271"/>
      <c r="AP130" s="271">
        <f t="shared" si="5"/>
        <v>0</v>
      </c>
      <c r="AQ130" s="272"/>
      <c r="AS130" s="543"/>
      <c r="AT130" s="613"/>
      <c r="AU130" s="591"/>
      <c r="AV130" s="591"/>
    </row>
    <row r="131" spans="1:48" s="273" customFormat="1" ht="18" customHeight="1">
      <c r="A131" s="256" t="s">
        <v>1121</v>
      </c>
      <c r="B131" s="257">
        <v>45693</v>
      </c>
      <c r="C131" s="256" t="s">
        <v>142</v>
      </c>
      <c r="D131" s="258">
        <v>14</v>
      </c>
      <c r="E131" s="256" t="s">
        <v>959</v>
      </c>
      <c r="F131" s="256" t="s">
        <v>227</v>
      </c>
      <c r="G131" s="258" t="s">
        <v>1179</v>
      </c>
      <c r="H131" s="256" t="str">
        <f>IFERROR(VLOOKUP(C131,DATA!$A$11:$L$64,3,FALSE),"")</f>
        <v>FRESH LONGAN</v>
      </c>
      <c r="I131" s="315" t="s">
        <v>1178</v>
      </c>
      <c r="J131" s="315" t="s">
        <v>1179</v>
      </c>
      <c r="K131" s="315" t="s">
        <v>1180</v>
      </c>
      <c r="L131" s="261" t="s">
        <v>1121</v>
      </c>
      <c r="M131" s="262">
        <f>IFERROR(VLOOKUP(C131,DATA!$A$11:$L$71,4,FALSE),"")</f>
        <v>1.2</v>
      </c>
      <c r="N131" s="263">
        <f>IFERROR(VLOOKUP(C131,DATA!$A$11:$L$71,5,FALSE),"")</f>
        <v>1.1200000000000001</v>
      </c>
      <c r="O131" s="263">
        <f>IFERROR(VLOOKUP(C131,DATA!$A$11:$L$71,6,FALSE),"")</f>
        <v>13</v>
      </c>
      <c r="P131" s="263">
        <f>IFERROR(VLOOKUP(C131,DATA!$A$11:$L$71,7,FALSE),"")</f>
        <v>11.5</v>
      </c>
      <c r="Q131" s="264">
        <f>IFERROR(VLOOKUP(C131,DATA!$A$11:$L$71,8,FALSE),"")</f>
        <v>2200</v>
      </c>
      <c r="R131" s="265" t="str">
        <f>IFERROR(VLOOKUP(C131,DATA!$A$11:$L$71,9,FALSE),"")</f>
        <v>PLASTIC BASKETS</v>
      </c>
      <c r="S131" s="266">
        <f>IFERROR(VLOOKUP(C131,DATA!$A$11:$L$71,10,FALSE),"")</f>
        <v>2</v>
      </c>
      <c r="T131" s="291" t="s">
        <v>136</v>
      </c>
      <c r="U131" s="259" t="str">
        <f>IFERROR(VLOOKUP(C131,DATA!$A$11:$L$71,12,FALSE),"")</f>
        <v>BEIJING JUNYAO INTERNATIONAL</v>
      </c>
      <c r="V131" s="256" t="s">
        <v>1083</v>
      </c>
      <c r="W131" s="256" t="s">
        <v>915</v>
      </c>
      <c r="X131" s="256" t="s">
        <v>192</v>
      </c>
      <c r="Y131" s="256" t="s">
        <v>193</v>
      </c>
      <c r="Z131" s="257">
        <v>45693</v>
      </c>
      <c r="AA131" s="257" t="s">
        <v>1182</v>
      </c>
      <c r="AB131" s="268">
        <v>45701</v>
      </c>
      <c r="AC131" s="268">
        <v>45706</v>
      </c>
      <c r="AD131" s="256" t="s">
        <v>1085</v>
      </c>
      <c r="AE131" s="256" t="s">
        <v>1181</v>
      </c>
      <c r="AF131" s="269" t="s">
        <v>867</v>
      </c>
      <c r="AG131" s="269" t="s">
        <v>1090</v>
      </c>
      <c r="AH131" s="269" t="s">
        <v>1091</v>
      </c>
      <c r="AI131" s="269" t="s">
        <v>1092</v>
      </c>
      <c r="AJ131" s="269" t="s">
        <v>197</v>
      </c>
      <c r="AK131" s="257">
        <v>45693</v>
      </c>
      <c r="AL131" s="257">
        <v>45698</v>
      </c>
      <c r="AM131" s="270"/>
      <c r="AN131" s="271"/>
      <c r="AO131" s="271"/>
      <c r="AP131" s="271">
        <f t="shared" si="5"/>
        <v>0</v>
      </c>
      <c r="AQ131" s="272"/>
      <c r="AS131" s="543"/>
      <c r="AT131" s="613"/>
      <c r="AU131" s="591"/>
      <c r="AV131" s="591"/>
    </row>
    <row r="132" spans="1:48" ht="18" customHeight="1">
      <c r="A132" s="6" t="s">
        <v>1122</v>
      </c>
      <c r="B132" s="60">
        <v>45714</v>
      </c>
      <c r="C132" s="6" t="s">
        <v>1183</v>
      </c>
      <c r="D132" s="30">
        <v>1</v>
      </c>
      <c r="E132" s="6" t="s">
        <v>1184</v>
      </c>
      <c r="F132" s="6" t="s">
        <v>1185</v>
      </c>
      <c r="G132" s="30" t="s">
        <v>1186</v>
      </c>
      <c r="H132" s="6" t="str">
        <f>IFERROR(VLOOKUP(C132,DATA!$A$11:$L$64,3,FALSE),"")</f>
        <v>FRESH POMELO</v>
      </c>
      <c r="I132" s="7" t="s">
        <v>1187</v>
      </c>
      <c r="J132" s="174" t="s">
        <v>1186</v>
      </c>
      <c r="K132" s="7" t="s">
        <v>1188</v>
      </c>
      <c r="L132" s="62" t="s">
        <v>1122</v>
      </c>
      <c r="M132" s="191">
        <f>IFERROR(VLOOKUP(C132,DATA!$A$11:$L$71,4,FALSE),"")</f>
        <v>1</v>
      </c>
      <c r="N132" s="192">
        <f>IFERROR(VLOOKUP(C132,DATA!$A$11:$L$71,5,FALSE),"")</f>
        <v>0.9</v>
      </c>
      <c r="O132" s="192">
        <f>IFERROR(VLOOKUP(C132,DATA!$A$11:$L$71,6,FALSE),"")</f>
        <v>19</v>
      </c>
      <c r="P132" s="192">
        <f>IFERROR(VLOOKUP(C132,DATA!$A$11:$L$71,7,FALSE),"")</f>
        <v>17</v>
      </c>
      <c r="Q132" s="193">
        <f>IFERROR(VLOOKUP(C132,DATA!$A$11:$L$71,8,FALSE),"")</f>
        <v>1074</v>
      </c>
      <c r="R132" s="194" t="str">
        <f>IFERROR(VLOOKUP(C132,DATA!$A$11:$L$71,9,FALSE),"")</f>
        <v>CARTONS</v>
      </c>
      <c r="S132" s="195">
        <f>IFERROR(VLOOKUP(C132,DATA!$A$11:$L$71,10,FALSE),"")</f>
        <v>8</v>
      </c>
      <c r="T132" s="196" t="str">
        <f>IFERROR(VLOOKUP(C132,DATA!$A$11:$L$71,11,FALSE),"")</f>
        <v>15%</v>
      </c>
      <c r="U132" s="32" t="str">
        <f>IFERROR(VLOOKUP(C132,DATA!$A$11:$L$71,12,FALSE),"")</f>
        <v>BEIJING JUNYAO INTERNATIONAL</v>
      </c>
      <c r="V132" s="6" t="s">
        <v>1083</v>
      </c>
      <c r="W132" s="6" t="s">
        <v>915</v>
      </c>
      <c r="X132" s="6" t="s">
        <v>192</v>
      </c>
      <c r="Y132" s="6" t="s">
        <v>571</v>
      </c>
      <c r="Z132" s="60">
        <v>45714</v>
      </c>
      <c r="AA132" s="60" t="s">
        <v>1189</v>
      </c>
      <c r="AB132" s="60">
        <v>45719</v>
      </c>
      <c r="AC132" s="60">
        <v>45726</v>
      </c>
      <c r="AD132" s="6" t="s">
        <v>1190</v>
      </c>
      <c r="AE132" s="6" t="s">
        <v>1191</v>
      </c>
      <c r="AF132" s="65" t="s">
        <v>867</v>
      </c>
      <c r="AG132" s="65" t="s">
        <v>1140</v>
      </c>
      <c r="AH132" s="65" t="s">
        <v>1141</v>
      </c>
      <c r="AI132" s="65" t="s">
        <v>1142</v>
      </c>
      <c r="AJ132" s="65" t="s">
        <v>1192</v>
      </c>
      <c r="AK132" s="66">
        <v>45715</v>
      </c>
      <c r="AL132" s="66">
        <v>45716</v>
      </c>
      <c r="AM132" s="66"/>
      <c r="AN132" s="67"/>
      <c r="AO132" s="67"/>
      <c r="AP132" s="67">
        <f t="shared" si="5"/>
        <v>0</v>
      </c>
      <c r="AQ132" s="59"/>
    </row>
    <row r="133" spans="1:48" ht="18" customHeight="1">
      <c r="A133" s="6" t="s">
        <v>1123</v>
      </c>
      <c r="B133" s="60">
        <v>45734</v>
      </c>
      <c r="C133" s="6" t="s">
        <v>1206</v>
      </c>
      <c r="D133" s="30">
        <v>2</v>
      </c>
      <c r="E133" s="6" t="s">
        <v>1184</v>
      </c>
      <c r="F133" s="6" t="s">
        <v>1185</v>
      </c>
      <c r="G133" s="30" t="s">
        <v>1203</v>
      </c>
      <c r="H133" s="6" t="str">
        <f>IFERROR(VLOOKUP(C133,DATA!$A$11:$L$64,3,FALSE),"")</f>
        <v>FRESH POMELO</v>
      </c>
      <c r="I133" s="319" t="s">
        <v>1204</v>
      </c>
      <c r="J133" s="7" t="s">
        <v>1203</v>
      </c>
      <c r="K133" s="7" t="s">
        <v>1205</v>
      </c>
      <c r="L133" s="62" t="s">
        <v>1123</v>
      </c>
      <c r="M133" s="191">
        <f>IFERROR(VLOOKUP(C133,DATA!$A$11:$L$71,4,FALSE),"")</f>
        <v>1</v>
      </c>
      <c r="N133" s="192">
        <f>IFERROR(VLOOKUP(C133,DATA!$A$11:$L$71,5,FALSE),"")</f>
        <v>0.9</v>
      </c>
      <c r="O133" s="359">
        <f>IFERROR(VLOOKUP(C133,DATA!$A$11:$L$71,6,FALSE),"")</f>
        <v>18</v>
      </c>
      <c r="P133" s="359">
        <f>IFERROR(VLOOKUP(C133,DATA!$A$11:$L$71,7,FALSE),"")</f>
        <v>16</v>
      </c>
      <c r="Q133" s="284">
        <v>1092</v>
      </c>
      <c r="R133" s="194" t="str">
        <f>IFERROR(VLOOKUP(C133,DATA!$A$11:$L$71,9,FALSE),"")</f>
        <v>CARTONS</v>
      </c>
      <c r="S133" s="195">
        <f>IFERROR(VLOOKUP(C133,DATA!$A$11:$L$71,10,FALSE),"")</f>
        <v>8</v>
      </c>
      <c r="T133" s="196" t="str">
        <f>IFERROR(VLOOKUP(C133,DATA!$A$11:$L$71,11,FALSE),"")</f>
        <v>15%</v>
      </c>
      <c r="U133" s="32" t="str">
        <f>IFERROR(VLOOKUP(C133,DATA!$A$11:$L$71,12,FALSE),"")</f>
        <v>BEIJING JUNYAO INTERNATIONAL</v>
      </c>
      <c r="V133" s="6" t="s">
        <v>1083</v>
      </c>
      <c r="W133" s="6" t="s">
        <v>1207</v>
      </c>
      <c r="X133" s="6" t="s">
        <v>192</v>
      </c>
      <c r="Y133" s="6" t="s">
        <v>193</v>
      </c>
      <c r="Z133" s="60">
        <v>45734</v>
      </c>
      <c r="AA133" s="318" t="s">
        <v>1212</v>
      </c>
      <c r="AB133" s="60">
        <v>45741</v>
      </c>
      <c r="AC133" s="60">
        <v>45748</v>
      </c>
      <c r="AD133" s="6" t="s">
        <v>1190</v>
      </c>
      <c r="AE133" s="6" t="s">
        <v>1211</v>
      </c>
      <c r="AF133" s="65" t="s">
        <v>867</v>
      </c>
      <c r="AG133" s="65" t="s">
        <v>1208</v>
      </c>
      <c r="AH133" s="65" t="s">
        <v>1209</v>
      </c>
      <c r="AI133" s="65" t="s">
        <v>1210</v>
      </c>
      <c r="AJ133" s="65" t="s">
        <v>1192</v>
      </c>
      <c r="AK133" s="66">
        <v>45734</v>
      </c>
      <c r="AL133" s="66">
        <v>45736</v>
      </c>
      <c r="AM133" s="66"/>
      <c r="AN133" s="67"/>
      <c r="AO133" s="67"/>
      <c r="AP133" s="67">
        <f t="shared" si="5"/>
        <v>0</v>
      </c>
      <c r="AQ133" s="59"/>
    </row>
    <row r="134" spans="1:48" s="336" customFormat="1" ht="18" customHeight="1">
      <c r="A134" s="320" t="s">
        <v>1194</v>
      </c>
      <c r="B134" s="331">
        <v>45734</v>
      </c>
      <c r="C134" s="320" t="s">
        <v>1213</v>
      </c>
      <c r="D134" s="321">
        <v>1</v>
      </c>
      <c r="E134" s="320" t="s">
        <v>1221</v>
      </c>
      <c r="F134" s="338" t="s">
        <v>1222</v>
      </c>
      <c r="G134" s="321" t="s">
        <v>1225</v>
      </c>
      <c r="H134" s="320" t="str">
        <f>IFERROR(VLOOKUP(C134,DATA!$A$11:$L$64,3,FALSE),"")</f>
        <v>FRESH YOUNG COCONUT</v>
      </c>
      <c r="I134" s="337" t="s">
        <v>1216</v>
      </c>
      <c r="J134" s="322" t="s">
        <v>1214</v>
      </c>
      <c r="K134" s="322" t="s">
        <v>1215</v>
      </c>
      <c r="L134" s="323" t="s">
        <v>1194</v>
      </c>
      <c r="M134" s="324">
        <f>IFERROR(VLOOKUP(C134,DATA!$A$11:$L$71,4,FALSE),"")</f>
        <v>1</v>
      </c>
      <c r="N134" s="325">
        <f>IFERROR(VLOOKUP(C134,DATA!$A$11:$L$71,5,FALSE),"")</f>
        <v>0.9</v>
      </c>
      <c r="O134" s="325">
        <f>IFERROR(VLOOKUP(C134,DATA!$A$11:$L$71,6,FALSE),"")</f>
        <v>11.5</v>
      </c>
      <c r="P134" s="325">
        <f>IFERROR(VLOOKUP(C134,DATA!$A$11:$L$71,7,FALSE),"")</f>
        <v>11</v>
      </c>
      <c r="Q134" s="326">
        <f>IFERROR(VLOOKUP(C134,DATA!$A$11:$L$71,8,FALSE),"")</f>
        <v>2200</v>
      </c>
      <c r="R134" s="327" t="str">
        <f>IFERROR(VLOOKUP(C134,DATA!$A$11:$L$71,9,FALSE),"")</f>
        <v>CARTONS</v>
      </c>
      <c r="S134" s="328">
        <f>IFERROR(VLOOKUP(C134,DATA!$A$11:$L$71,10,FALSE),"")</f>
        <v>2</v>
      </c>
      <c r="T134" s="329" t="str">
        <f>IFERROR(VLOOKUP(C134,DATA!$A$11:$L$71,11,FALSE),"")</f>
        <v>15%</v>
      </c>
      <c r="U134" s="330" t="str">
        <f>IFERROR(VLOOKUP(C134,DATA!$A$11:$L$71,12,FALSE),"")</f>
        <v>SHANGHAI GOODFARMER BANANA CO.,LTD.</v>
      </c>
      <c r="V134" s="320" t="s">
        <v>1083</v>
      </c>
      <c r="W134" s="320" t="s">
        <v>1207</v>
      </c>
      <c r="X134" s="320" t="s">
        <v>192</v>
      </c>
      <c r="Y134" s="320" t="s">
        <v>193</v>
      </c>
      <c r="Z134" s="331">
        <v>45734</v>
      </c>
      <c r="AA134" s="339" t="s">
        <v>1224</v>
      </c>
      <c r="AB134" s="331">
        <v>45742</v>
      </c>
      <c r="AC134" s="331">
        <v>45748</v>
      </c>
      <c r="AD134" s="320" t="s">
        <v>1190</v>
      </c>
      <c r="AE134" s="320" t="s">
        <v>1211</v>
      </c>
      <c r="AF134" s="332" t="s">
        <v>867</v>
      </c>
      <c r="AG134" s="332" t="s">
        <v>965</v>
      </c>
      <c r="AH134" s="332" t="s">
        <v>1217</v>
      </c>
      <c r="AI134" s="332" t="s">
        <v>967</v>
      </c>
      <c r="AJ134" s="332" t="s">
        <v>1218</v>
      </c>
      <c r="AK134" s="333">
        <v>45735</v>
      </c>
      <c r="AL134" s="333">
        <v>45738</v>
      </c>
      <c r="AM134" s="333"/>
      <c r="AN134" s="334"/>
      <c r="AO134" s="334"/>
      <c r="AP134" s="334">
        <f t="shared" si="5"/>
        <v>0</v>
      </c>
      <c r="AQ134" s="335"/>
      <c r="AS134" s="545"/>
      <c r="AT134" s="615"/>
      <c r="AU134" s="593"/>
      <c r="AV134" s="593"/>
    </row>
    <row r="135" spans="1:48" s="336" customFormat="1" ht="18" customHeight="1">
      <c r="A135" s="320" t="s">
        <v>1195</v>
      </c>
      <c r="B135" s="331">
        <v>45735</v>
      </c>
      <c r="C135" s="320" t="s">
        <v>1213</v>
      </c>
      <c r="D135" s="321">
        <v>2</v>
      </c>
      <c r="E135" s="320" t="s">
        <v>1226</v>
      </c>
      <c r="F135" s="320" t="s">
        <v>1227</v>
      </c>
      <c r="G135" s="321" t="s">
        <v>1225</v>
      </c>
      <c r="H135" s="320" t="str">
        <f>IFERROR(VLOOKUP(C135,DATA!$A$11:$L$64,3,FALSE),"")</f>
        <v>FRESH YOUNG COCONUT</v>
      </c>
      <c r="I135" s="337" t="s">
        <v>1220</v>
      </c>
      <c r="J135" s="322" t="s">
        <v>1228</v>
      </c>
      <c r="K135" s="337" t="s">
        <v>1229</v>
      </c>
      <c r="L135" s="323" t="s">
        <v>1195</v>
      </c>
      <c r="M135" s="324">
        <f>IFERROR(VLOOKUP(C135,DATA!$A$11:$L$71,4,FALSE),"")</f>
        <v>1</v>
      </c>
      <c r="N135" s="325">
        <f>IFERROR(VLOOKUP(C135,DATA!$A$11:$L$71,5,FALSE),"")</f>
        <v>0.9</v>
      </c>
      <c r="O135" s="325">
        <f>IFERROR(VLOOKUP(C135,DATA!$A$11:$L$71,6,FALSE),"")</f>
        <v>11.5</v>
      </c>
      <c r="P135" s="325">
        <f>IFERROR(VLOOKUP(C135,DATA!$A$11:$L$71,7,FALSE),"")</f>
        <v>11</v>
      </c>
      <c r="Q135" s="326">
        <f>IFERROR(VLOOKUP(C135,DATA!$A$11:$L$71,8,FALSE),"")</f>
        <v>2200</v>
      </c>
      <c r="R135" s="327" t="str">
        <f>IFERROR(VLOOKUP(C135,DATA!$A$11:$L$71,9,FALSE),"")</f>
        <v>CARTONS</v>
      </c>
      <c r="S135" s="328">
        <f>IFERROR(VLOOKUP(C135,DATA!$A$11:$L$71,10,FALSE),"")</f>
        <v>2</v>
      </c>
      <c r="T135" s="329" t="str">
        <f>IFERROR(VLOOKUP(C135,DATA!$A$11:$L$71,11,FALSE),"")</f>
        <v>15%</v>
      </c>
      <c r="U135" s="330" t="str">
        <f>IFERROR(VLOOKUP(C135,DATA!$A$11:$L$71,12,FALSE),"")</f>
        <v>SHANGHAI GOODFARMER BANANA CO.,LTD.</v>
      </c>
      <c r="V135" s="320" t="s">
        <v>1083</v>
      </c>
      <c r="W135" s="320" t="s">
        <v>715</v>
      </c>
      <c r="X135" s="320" t="s">
        <v>192</v>
      </c>
      <c r="Y135" s="320" t="s">
        <v>1233</v>
      </c>
      <c r="Z135" s="331">
        <v>45735</v>
      </c>
      <c r="AA135" s="339" t="s">
        <v>1234</v>
      </c>
      <c r="AB135" s="331">
        <v>45742</v>
      </c>
      <c r="AC135" s="331">
        <v>45749</v>
      </c>
      <c r="AD135" s="320" t="s">
        <v>1190</v>
      </c>
      <c r="AE135" s="320" t="s">
        <v>1235</v>
      </c>
      <c r="AF135" s="332" t="s">
        <v>1165</v>
      </c>
      <c r="AG135" s="332" t="s">
        <v>1231</v>
      </c>
      <c r="AH135" s="332" t="s">
        <v>1230</v>
      </c>
      <c r="AI135" s="332" t="s">
        <v>1232</v>
      </c>
      <c r="AJ135" s="332" t="s">
        <v>1219</v>
      </c>
      <c r="AK135" s="333">
        <v>45735</v>
      </c>
      <c r="AL135" s="333">
        <v>45739</v>
      </c>
      <c r="AM135" s="333"/>
      <c r="AN135" s="334"/>
      <c r="AO135" s="334"/>
      <c r="AP135" s="334">
        <f t="shared" si="5"/>
        <v>0</v>
      </c>
      <c r="AQ135" s="335"/>
      <c r="AS135" s="545"/>
      <c r="AT135" s="615"/>
      <c r="AU135" s="593"/>
      <c r="AV135" s="593"/>
    </row>
    <row r="136" spans="1:48" s="309" customFormat="1" ht="18" customHeight="1">
      <c r="A136" s="249" t="s">
        <v>1196</v>
      </c>
      <c r="B136" s="250">
        <v>45738</v>
      </c>
      <c r="C136" s="249" t="s">
        <v>1236</v>
      </c>
      <c r="D136" s="253">
        <v>1</v>
      </c>
      <c r="E136" s="249" t="s">
        <v>1239</v>
      </c>
      <c r="F136" s="249" t="s">
        <v>1240</v>
      </c>
      <c r="G136" s="361" t="s">
        <v>1262</v>
      </c>
      <c r="H136" s="249" t="str">
        <f>IFERROR(VLOOKUP(C136,DATA!$A$11:$L$64,3,FALSE),"")</f>
        <v>FRESH YOUNG COCONUT</v>
      </c>
      <c r="I136" s="314" t="s">
        <v>1241</v>
      </c>
      <c r="J136" s="314" t="s">
        <v>1247</v>
      </c>
      <c r="K136" s="362" t="s">
        <v>1248</v>
      </c>
      <c r="L136" s="297" t="s">
        <v>1196</v>
      </c>
      <c r="M136" s="298">
        <f>IFERROR(VLOOKUP(C136,DATA!$A$11:$L$71,4,FALSE),"")</f>
        <v>28.3</v>
      </c>
      <c r="N136" s="299">
        <f>IFERROR(VLOOKUP(C136,DATA!$A$11:$L$71,5,FALSE),"")</f>
        <v>0.78</v>
      </c>
      <c r="O136" s="299">
        <f>IFERROR(VLOOKUP(C136,DATA!$A$11:$L$71,6,FALSE),"")</f>
        <v>11.09</v>
      </c>
      <c r="P136" s="299">
        <f>IFERROR(VLOOKUP(C136,DATA!$A$11:$L$71,7,FALSE),"")</f>
        <v>10.09</v>
      </c>
      <c r="Q136" s="300">
        <v>2050</v>
      </c>
      <c r="R136" s="301" t="str">
        <f>IFERROR(VLOOKUP(C136,DATA!$A$11:$L$71,9,FALSE),"")</f>
        <v>CARTONS</v>
      </c>
      <c r="S136" s="302">
        <f>IFERROR(VLOOKUP(C136,DATA!$A$11:$L$71,10,FALSE),"")</f>
        <v>2</v>
      </c>
      <c r="T136" s="363" t="str">
        <f>IFERROR(VLOOKUP(C136,DATA!$A$11:$L$71,11,FALSE),"")</f>
        <v>5%</v>
      </c>
      <c r="U136" s="296" t="str">
        <f>IFERROR(VLOOKUP(C136,DATA!$A$11:$L$71,12,FALSE),"")</f>
        <v>SHENZHEN YUANZHILV TRADING CO., LTD.</v>
      </c>
      <c r="V136" s="249" t="s">
        <v>1083</v>
      </c>
      <c r="W136" s="249" t="s">
        <v>875</v>
      </c>
      <c r="X136" s="249" t="s">
        <v>192</v>
      </c>
      <c r="Y136" s="249" t="s">
        <v>193</v>
      </c>
      <c r="Z136" s="250">
        <v>45738</v>
      </c>
      <c r="AA136" s="364" t="s">
        <v>1242</v>
      </c>
      <c r="AB136" s="250">
        <v>45743</v>
      </c>
      <c r="AC136" s="250">
        <v>45748</v>
      </c>
      <c r="AD136" s="249" t="s">
        <v>24</v>
      </c>
      <c r="AE136" s="249" t="s">
        <v>1243</v>
      </c>
      <c r="AF136" s="305" t="s">
        <v>867</v>
      </c>
      <c r="AG136" s="305" t="s">
        <v>1244</v>
      </c>
      <c r="AH136" s="305" t="s">
        <v>1245</v>
      </c>
      <c r="AI136" s="305" t="s">
        <v>1246</v>
      </c>
      <c r="AJ136" s="305" t="s">
        <v>1218</v>
      </c>
      <c r="AK136" s="306">
        <v>45738</v>
      </c>
      <c r="AL136" s="306">
        <v>45739</v>
      </c>
      <c r="AM136" s="306"/>
      <c r="AN136" s="307"/>
      <c r="AO136" s="307"/>
      <c r="AP136" s="307">
        <f t="shared" si="5"/>
        <v>0</v>
      </c>
      <c r="AQ136" s="308"/>
      <c r="AS136" s="544"/>
      <c r="AT136" s="614"/>
      <c r="AU136" s="592"/>
      <c r="AV136" s="592"/>
    </row>
    <row r="137" spans="1:48" ht="18" customHeight="1">
      <c r="A137" s="6" t="s">
        <v>1197</v>
      </c>
      <c r="B137" s="60">
        <v>45742</v>
      </c>
      <c r="C137" s="6" t="s">
        <v>1206</v>
      </c>
      <c r="D137" s="30">
        <v>3</v>
      </c>
      <c r="E137" s="6" t="s">
        <v>1184</v>
      </c>
      <c r="F137" s="6" t="s">
        <v>1185</v>
      </c>
      <c r="G137" s="30" t="s">
        <v>1252</v>
      </c>
      <c r="H137" s="6" t="str">
        <f>IFERROR(VLOOKUP(C137,DATA!$A$11:$L$64,3,FALSE),"")</f>
        <v>FRESH POMELO</v>
      </c>
      <c r="I137" s="7" t="s">
        <v>1249</v>
      </c>
      <c r="J137" s="7" t="s">
        <v>1252</v>
      </c>
      <c r="K137" s="347" t="s">
        <v>1253</v>
      </c>
      <c r="L137" s="62" t="s">
        <v>1197</v>
      </c>
      <c r="M137" s="191">
        <f>IFERROR(VLOOKUP(C137,DATA!$A$11:$L$71,4,FALSE),"")</f>
        <v>1</v>
      </c>
      <c r="N137" s="192">
        <f>IFERROR(VLOOKUP(C137,DATA!$A$11:$L$71,5,FALSE),"")</f>
        <v>0.9</v>
      </c>
      <c r="O137" s="359">
        <v>18</v>
      </c>
      <c r="P137" s="359">
        <v>16</v>
      </c>
      <c r="Q137" s="284">
        <v>1094</v>
      </c>
      <c r="R137" s="194" t="str">
        <f>IFERROR(VLOOKUP(C137,DATA!$A$11:$L$71,9,FALSE),"")</f>
        <v>CARTONS</v>
      </c>
      <c r="S137" s="195">
        <f>IFERROR(VLOOKUP(C137,DATA!$A$11:$L$71,10,FALSE),"")</f>
        <v>8</v>
      </c>
      <c r="T137" s="196" t="str">
        <f>IFERROR(VLOOKUP(C137,DATA!$A$11:$L$71,11,FALSE),"")</f>
        <v>15%</v>
      </c>
      <c r="U137" s="32" t="str">
        <f>IFERROR(VLOOKUP(C137,DATA!$A$11:$L$71,12,FALSE),"")</f>
        <v>BEIJING JUNYAO INTERNATIONAL</v>
      </c>
      <c r="V137" s="6" t="s">
        <v>1083</v>
      </c>
      <c r="W137" s="6" t="s">
        <v>875</v>
      </c>
      <c r="X137" s="6" t="s">
        <v>192</v>
      </c>
      <c r="Y137" s="6" t="s">
        <v>231</v>
      </c>
      <c r="Z137" s="60">
        <v>45742</v>
      </c>
      <c r="AA137" s="318" t="s">
        <v>1250</v>
      </c>
      <c r="AB137" s="60">
        <v>45746</v>
      </c>
      <c r="AC137" s="60">
        <v>45754</v>
      </c>
      <c r="AD137" s="6" t="s">
        <v>1190</v>
      </c>
      <c r="AE137" s="6" t="s">
        <v>1251</v>
      </c>
      <c r="AF137" s="65" t="s">
        <v>867</v>
      </c>
      <c r="AG137" s="65" t="s">
        <v>1140</v>
      </c>
      <c r="AH137" s="65" t="s">
        <v>1141</v>
      </c>
      <c r="AI137" s="65" t="s">
        <v>1142</v>
      </c>
      <c r="AJ137" s="65" t="s">
        <v>1192</v>
      </c>
      <c r="AK137" s="66">
        <v>45743</v>
      </c>
      <c r="AL137" s="66">
        <v>45744</v>
      </c>
      <c r="AM137" s="66"/>
      <c r="AN137" s="67"/>
      <c r="AO137" s="67"/>
      <c r="AP137" s="67">
        <f t="shared" si="5"/>
        <v>0</v>
      </c>
      <c r="AQ137" s="59"/>
    </row>
    <row r="138" spans="1:48" s="336" customFormat="1" ht="18" customHeight="1">
      <c r="A138" s="320" t="s">
        <v>1198</v>
      </c>
      <c r="B138" s="331">
        <v>45743</v>
      </c>
      <c r="C138" s="320" t="s">
        <v>1213</v>
      </c>
      <c r="D138" s="321">
        <v>3</v>
      </c>
      <c r="E138" s="320" t="s">
        <v>1257</v>
      </c>
      <c r="F138" s="320" t="s">
        <v>1258</v>
      </c>
      <c r="G138" s="321" t="s">
        <v>1225</v>
      </c>
      <c r="H138" s="320" t="str">
        <f>IFERROR(VLOOKUP(C138,DATA!$A$11:$L$64,3,FALSE),"")</f>
        <v>FRESH YOUNG COCONUT</v>
      </c>
      <c r="I138" s="337" t="s">
        <v>1254</v>
      </c>
      <c r="J138" s="322" t="s">
        <v>1263</v>
      </c>
      <c r="K138" s="337" t="s">
        <v>1264</v>
      </c>
      <c r="L138" s="323" t="s">
        <v>1198</v>
      </c>
      <c r="M138" s="324">
        <f>IFERROR(VLOOKUP(C138,DATA!$A$11:$L$71,4,FALSE),"")</f>
        <v>1</v>
      </c>
      <c r="N138" s="325">
        <f>IFERROR(VLOOKUP(C138,DATA!$A$11:$L$71,5,FALSE),"")</f>
        <v>0.9</v>
      </c>
      <c r="O138" s="325">
        <f>IFERROR(VLOOKUP(C138,DATA!$A$11:$L$71,6,FALSE),"")</f>
        <v>11.5</v>
      </c>
      <c r="P138" s="325">
        <f>IFERROR(VLOOKUP(C138,DATA!$A$11:$L$71,7,FALSE),"")</f>
        <v>11</v>
      </c>
      <c r="Q138" s="326">
        <f>IFERROR(VLOOKUP(C138,DATA!$A$11:$L$71,8,FALSE),"")</f>
        <v>2200</v>
      </c>
      <c r="R138" s="327" t="str">
        <f>IFERROR(VLOOKUP(C138,DATA!$A$11:$L$71,9,FALSE),"")</f>
        <v>CARTONS</v>
      </c>
      <c r="S138" s="328">
        <f>IFERROR(VLOOKUP(C138,DATA!$A$11:$L$71,10,FALSE),"")</f>
        <v>2</v>
      </c>
      <c r="T138" s="329" t="str">
        <f>IFERROR(VLOOKUP(C138,DATA!$A$11:$L$71,11,FALSE),"")</f>
        <v>15%</v>
      </c>
      <c r="U138" s="330" t="str">
        <f>IFERROR(VLOOKUP(C138,DATA!$A$11:$L$71,12,FALSE),"")</f>
        <v>SHANGHAI GOODFARMER BANANA CO.,LTD.</v>
      </c>
      <c r="V138" s="320" t="s">
        <v>1083</v>
      </c>
      <c r="W138" s="320" t="s">
        <v>1207</v>
      </c>
      <c r="X138" s="320" t="s">
        <v>192</v>
      </c>
      <c r="Y138" s="320" t="s">
        <v>193</v>
      </c>
      <c r="Z138" s="331">
        <v>45743</v>
      </c>
      <c r="AA138" s="339" t="s">
        <v>1267</v>
      </c>
      <c r="AB138" s="331">
        <v>45752</v>
      </c>
      <c r="AC138" s="331">
        <v>45760</v>
      </c>
      <c r="AD138" s="320" t="s">
        <v>1256</v>
      </c>
      <c r="AE138" s="320" t="s">
        <v>1255</v>
      </c>
      <c r="AF138" s="332" t="s">
        <v>867</v>
      </c>
      <c r="AG138" s="332" t="s">
        <v>1244</v>
      </c>
      <c r="AH138" s="332" t="s">
        <v>1245</v>
      </c>
      <c r="AI138" s="332" t="s">
        <v>1246</v>
      </c>
      <c r="AJ138" s="332" t="s">
        <v>1218</v>
      </c>
      <c r="AK138" s="333">
        <v>45744</v>
      </c>
      <c r="AL138" s="333">
        <v>45747</v>
      </c>
      <c r="AM138" s="333"/>
      <c r="AN138" s="334"/>
      <c r="AO138" s="334"/>
      <c r="AP138" s="334">
        <f t="shared" si="5"/>
        <v>0</v>
      </c>
      <c r="AQ138" s="335"/>
      <c r="AS138" s="545"/>
      <c r="AT138" s="615"/>
      <c r="AU138" s="593"/>
      <c r="AV138" s="593"/>
    </row>
    <row r="139" spans="1:48" s="309" customFormat="1" ht="18" customHeight="1">
      <c r="A139" s="249" t="s">
        <v>1199</v>
      </c>
      <c r="B139" s="250">
        <v>45744</v>
      </c>
      <c r="C139" s="249" t="s">
        <v>1236</v>
      </c>
      <c r="D139" s="253">
        <v>2</v>
      </c>
      <c r="E139" s="249" t="s">
        <v>1239</v>
      </c>
      <c r="F139" s="249" t="s">
        <v>1240</v>
      </c>
      <c r="G139" s="253" t="s">
        <v>1262</v>
      </c>
      <c r="H139" s="249" t="str">
        <f>IFERROR(VLOOKUP(C139,DATA!$A$11:$L$64,3,FALSE),"")</f>
        <v>FRESH YOUNG COCONUT</v>
      </c>
      <c r="I139" s="362" t="s">
        <v>1259</v>
      </c>
      <c r="J139" s="314" t="s">
        <v>1265</v>
      </c>
      <c r="K139" s="365" t="s">
        <v>1276</v>
      </c>
      <c r="L139" s="297" t="s">
        <v>1199</v>
      </c>
      <c r="M139" s="298">
        <v>30.66</v>
      </c>
      <c r="N139" s="299">
        <v>0.84</v>
      </c>
      <c r="O139" s="366">
        <v>11</v>
      </c>
      <c r="P139" s="366">
        <v>10</v>
      </c>
      <c r="Q139" s="313">
        <v>1987</v>
      </c>
      <c r="R139" s="301" t="str">
        <f>IFERROR(VLOOKUP(C139,DATA!$A$11:$L$71,9,FALSE),"")</f>
        <v>CARTONS</v>
      </c>
      <c r="S139" s="302">
        <f>IFERROR(VLOOKUP(C139,DATA!$A$11:$L$71,10,FALSE),"")</f>
        <v>2</v>
      </c>
      <c r="T139" s="363" t="str">
        <f>IFERROR(VLOOKUP(C139,DATA!$A$11:$L$71,11,FALSE),"")</f>
        <v>5%</v>
      </c>
      <c r="U139" s="296" t="str">
        <f>IFERROR(VLOOKUP(C139,DATA!$A$11:$L$71,12,FALSE),"")</f>
        <v>SHENZHEN YUANZHILV TRADING CO., LTD.</v>
      </c>
      <c r="V139" s="249" t="s">
        <v>1083</v>
      </c>
      <c r="W139" s="249" t="s">
        <v>875</v>
      </c>
      <c r="X139" s="249" t="s">
        <v>192</v>
      </c>
      <c r="Y139" s="249" t="s">
        <v>912</v>
      </c>
      <c r="Z139" s="250">
        <v>45743</v>
      </c>
      <c r="AA139" s="364" t="s">
        <v>1260</v>
      </c>
      <c r="AB139" s="250">
        <v>45750</v>
      </c>
      <c r="AC139" s="250">
        <v>45755</v>
      </c>
      <c r="AD139" s="249" t="s">
        <v>24</v>
      </c>
      <c r="AE139" s="249" t="s">
        <v>1261</v>
      </c>
      <c r="AF139" s="305" t="s">
        <v>867</v>
      </c>
      <c r="AG139" s="305" t="s">
        <v>1054</v>
      </c>
      <c r="AH139" s="305" t="s">
        <v>1055</v>
      </c>
      <c r="AI139" s="305" t="s">
        <v>1266</v>
      </c>
      <c r="AJ139" s="305" t="s">
        <v>1218</v>
      </c>
      <c r="AK139" s="306">
        <v>45744</v>
      </c>
      <c r="AL139" s="306">
        <v>45745</v>
      </c>
      <c r="AM139" s="306"/>
      <c r="AN139" s="307"/>
      <c r="AO139" s="307"/>
      <c r="AP139" s="307">
        <f t="shared" si="5"/>
        <v>0</v>
      </c>
      <c r="AQ139" s="308"/>
      <c r="AS139" s="544"/>
      <c r="AT139" s="614"/>
      <c r="AU139" s="592"/>
      <c r="AV139" s="592"/>
    </row>
    <row r="140" spans="1:48" s="336" customFormat="1" ht="18" customHeight="1">
      <c r="A140" s="320" t="s">
        <v>1200</v>
      </c>
      <c r="B140" s="331">
        <v>45748</v>
      </c>
      <c r="C140" s="320" t="s">
        <v>1213</v>
      </c>
      <c r="D140" s="321">
        <v>4</v>
      </c>
      <c r="E140" s="320" t="s">
        <v>1257</v>
      </c>
      <c r="F140" s="320" t="s">
        <v>1258</v>
      </c>
      <c r="G140" s="321" t="s">
        <v>1225</v>
      </c>
      <c r="H140" s="320" t="str">
        <f>IFERROR(VLOOKUP(C140,DATA!$A$11:$L$64,3,FALSE),"")</f>
        <v>FRESH YOUNG COCONUT</v>
      </c>
      <c r="I140" s="337" t="s">
        <v>1270</v>
      </c>
      <c r="J140" s="322" t="s">
        <v>1268</v>
      </c>
      <c r="K140" s="337" t="s">
        <v>1269</v>
      </c>
      <c r="L140" s="323" t="s">
        <v>1200</v>
      </c>
      <c r="M140" s="324">
        <f>IFERROR(VLOOKUP(C140,DATA!$A$11:$L$71,4,FALSE),"")</f>
        <v>1</v>
      </c>
      <c r="N140" s="325">
        <f>IFERROR(VLOOKUP(C140,DATA!$A$11:$L$71,5,FALSE),"")</f>
        <v>0.9</v>
      </c>
      <c r="O140" s="325">
        <f>IFERROR(VLOOKUP(C140,DATA!$A$11:$L$71,6,FALSE),"")</f>
        <v>11.5</v>
      </c>
      <c r="P140" s="325">
        <f>IFERROR(VLOOKUP(C140,DATA!$A$11:$L$71,7,FALSE),"")</f>
        <v>11</v>
      </c>
      <c r="Q140" s="326">
        <f>IFERROR(VLOOKUP(C140,DATA!$A$11:$L$71,8,FALSE),"")</f>
        <v>2200</v>
      </c>
      <c r="R140" s="327" t="str">
        <f>IFERROR(VLOOKUP(C140,DATA!$A$11:$L$71,9,FALSE),"")</f>
        <v>CARTONS</v>
      </c>
      <c r="S140" s="328">
        <f>IFERROR(VLOOKUP(C140,DATA!$A$11:$L$71,10,FALSE),"")</f>
        <v>2</v>
      </c>
      <c r="T140" s="329" t="str">
        <f>IFERROR(VLOOKUP(C140,DATA!$A$11:$L$71,11,FALSE),"")</f>
        <v>15%</v>
      </c>
      <c r="U140" s="330" t="str">
        <f>IFERROR(VLOOKUP(C140,DATA!$A$11:$L$71,12,FALSE),"")</f>
        <v>SHANGHAI GOODFARMER BANANA CO.,LTD.</v>
      </c>
      <c r="V140" s="320" t="s">
        <v>1083</v>
      </c>
      <c r="W140" s="320" t="s">
        <v>1207</v>
      </c>
      <c r="X140" s="320" t="s">
        <v>192</v>
      </c>
      <c r="Y140" s="320" t="s">
        <v>193</v>
      </c>
      <c r="Z140" s="331">
        <v>45748</v>
      </c>
      <c r="AA140" s="331" t="s">
        <v>1271</v>
      </c>
      <c r="AB140" s="331">
        <v>45753</v>
      </c>
      <c r="AC140" s="331">
        <v>45760</v>
      </c>
      <c r="AD140" s="320" t="s">
        <v>1190</v>
      </c>
      <c r="AE140" s="320" t="s">
        <v>1272</v>
      </c>
      <c r="AF140" s="332" t="s">
        <v>867</v>
      </c>
      <c r="AG140" s="332" t="s">
        <v>1273</v>
      </c>
      <c r="AH140" s="332" t="s">
        <v>1274</v>
      </c>
      <c r="AI140" s="332" t="s">
        <v>1275</v>
      </c>
      <c r="AJ140" s="332" t="s">
        <v>1218</v>
      </c>
      <c r="AK140" s="331">
        <v>45749</v>
      </c>
      <c r="AL140" s="331">
        <v>45751</v>
      </c>
      <c r="AM140" s="333"/>
      <c r="AN140" s="334"/>
      <c r="AO140" s="334"/>
      <c r="AP140" s="334">
        <f t="shared" si="5"/>
        <v>0</v>
      </c>
      <c r="AQ140" s="335"/>
      <c r="AS140" s="545"/>
      <c r="AT140" s="615"/>
      <c r="AU140" s="593"/>
      <c r="AV140" s="593"/>
    </row>
    <row r="141" spans="1:48" s="309" customFormat="1" ht="18" customHeight="1">
      <c r="A141" s="249" t="s">
        <v>1201</v>
      </c>
      <c r="B141" s="250">
        <v>45750</v>
      </c>
      <c r="C141" s="249" t="s">
        <v>1236</v>
      </c>
      <c r="D141" s="253">
        <v>3</v>
      </c>
      <c r="E141" s="249" t="s">
        <v>1239</v>
      </c>
      <c r="F141" s="249" t="s">
        <v>1240</v>
      </c>
      <c r="G141" s="253" t="s">
        <v>1262</v>
      </c>
      <c r="H141" s="249" t="str">
        <f>IFERROR(VLOOKUP(C141,DATA!$A$11:$L$64,3,FALSE),"")</f>
        <v>FRESH YOUNG COCONUT</v>
      </c>
      <c r="I141" s="362" t="s">
        <v>1281</v>
      </c>
      <c r="J141" s="314" t="s">
        <v>1279</v>
      </c>
      <c r="K141" s="362" t="s">
        <v>1280</v>
      </c>
      <c r="L141" s="297" t="s">
        <v>1201</v>
      </c>
      <c r="M141" s="298">
        <v>32.909999999999997</v>
      </c>
      <c r="N141" s="299">
        <v>0.9</v>
      </c>
      <c r="O141" s="366">
        <v>11</v>
      </c>
      <c r="P141" s="366">
        <v>10</v>
      </c>
      <c r="Q141" s="313">
        <v>1907</v>
      </c>
      <c r="R141" s="301" t="str">
        <f>IFERROR(VLOOKUP(C141,DATA!$A$11:$L$71,9,FALSE),"")</f>
        <v>CARTONS</v>
      </c>
      <c r="S141" s="302">
        <f>IFERROR(VLOOKUP(C141,DATA!$A$11:$L$71,10,FALSE),"")</f>
        <v>2</v>
      </c>
      <c r="T141" s="363" t="str">
        <f>IFERROR(VLOOKUP(C141,DATA!$A$11:$L$71,11,FALSE),"")</f>
        <v>5%</v>
      </c>
      <c r="U141" s="296" t="str">
        <f>IFERROR(VLOOKUP(C141,DATA!$A$11:$L$71,12,FALSE),"")</f>
        <v>SHENZHEN YUANZHILV TRADING CO., LTD.</v>
      </c>
      <c r="V141" s="249" t="s">
        <v>1083</v>
      </c>
      <c r="W141" s="249" t="s">
        <v>875</v>
      </c>
      <c r="X141" s="249" t="s">
        <v>192</v>
      </c>
      <c r="Y141" s="249" t="s">
        <v>912</v>
      </c>
      <c r="Z141" s="250">
        <v>45750</v>
      </c>
      <c r="AA141" s="364" t="s">
        <v>1277</v>
      </c>
      <c r="AB141" s="250">
        <v>45757</v>
      </c>
      <c r="AC141" s="250">
        <v>45761</v>
      </c>
      <c r="AD141" s="249" t="s">
        <v>24</v>
      </c>
      <c r="AE141" s="249" t="s">
        <v>1278</v>
      </c>
      <c r="AF141" s="305" t="s">
        <v>867</v>
      </c>
      <c r="AG141" s="305" t="s">
        <v>1027</v>
      </c>
      <c r="AH141" s="305" t="s">
        <v>1028</v>
      </c>
      <c r="AI141" s="305" t="s">
        <v>1282</v>
      </c>
      <c r="AJ141" s="305" t="s">
        <v>1218</v>
      </c>
      <c r="AK141" s="250">
        <v>45750</v>
      </c>
      <c r="AL141" s="250">
        <v>45752</v>
      </c>
      <c r="AM141" s="306"/>
      <c r="AN141" s="307"/>
      <c r="AO141" s="307"/>
      <c r="AP141" s="307">
        <f t="shared" si="5"/>
        <v>0</v>
      </c>
      <c r="AQ141" s="308"/>
      <c r="AS141" s="544"/>
      <c r="AT141" s="614"/>
      <c r="AU141" s="592"/>
      <c r="AV141" s="592"/>
    </row>
    <row r="142" spans="1:48" s="309" customFormat="1" ht="17.45" customHeight="1">
      <c r="A142" s="249" t="s">
        <v>1202</v>
      </c>
      <c r="B142" s="250">
        <v>45756</v>
      </c>
      <c r="C142" s="249" t="s">
        <v>1236</v>
      </c>
      <c r="D142" s="253">
        <v>4</v>
      </c>
      <c r="E142" s="249" t="s">
        <v>1239</v>
      </c>
      <c r="F142" s="249" t="s">
        <v>1240</v>
      </c>
      <c r="G142" s="253" t="s">
        <v>1262</v>
      </c>
      <c r="H142" s="249" t="str">
        <f>IFERROR(VLOOKUP(C142,DATA!$A$11:$L$64,3,FALSE),"")</f>
        <v>FRESH YOUNG COCONUT</v>
      </c>
      <c r="I142" s="362" t="s">
        <v>1304</v>
      </c>
      <c r="J142" s="314" t="s">
        <v>1310</v>
      </c>
      <c r="K142" s="362" t="s">
        <v>1311</v>
      </c>
      <c r="L142" s="297" t="s">
        <v>1202</v>
      </c>
      <c r="M142" s="298">
        <v>32.5</v>
      </c>
      <c r="N142" s="299">
        <v>29.85</v>
      </c>
      <c r="O142" s="299">
        <v>11.11</v>
      </c>
      <c r="P142" s="299">
        <v>10.11</v>
      </c>
      <c r="Q142" s="313">
        <v>1987</v>
      </c>
      <c r="R142" s="301" t="str">
        <f>IFERROR(VLOOKUP(C142,DATA!$A$11:$L$71,9,FALSE),"")</f>
        <v>CARTONS</v>
      </c>
      <c r="S142" s="302">
        <f>IFERROR(VLOOKUP(C142,DATA!$A$11:$L$71,10,FALSE),"")</f>
        <v>2</v>
      </c>
      <c r="T142" s="363" t="str">
        <f>IFERROR(VLOOKUP(C142,DATA!$A$11:$L$71,11,FALSE),"")</f>
        <v>5%</v>
      </c>
      <c r="U142" s="296" t="str">
        <f>IFERROR(VLOOKUP(C142,DATA!$A$11:$L$71,12,FALSE),"")</f>
        <v>SHENZHEN YUANZHILV TRADING CO., LTD.</v>
      </c>
      <c r="V142" s="249" t="s">
        <v>1083</v>
      </c>
      <c r="W142" s="249" t="s">
        <v>875</v>
      </c>
      <c r="X142" s="249" t="s">
        <v>192</v>
      </c>
      <c r="Y142" s="249" t="s">
        <v>193</v>
      </c>
      <c r="Z142" s="250">
        <v>45756</v>
      </c>
      <c r="AA142" s="364" t="s">
        <v>1305</v>
      </c>
      <c r="AB142" s="250">
        <v>45761</v>
      </c>
      <c r="AC142" s="250">
        <v>45766</v>
      </c>
      <c r="AD142" s="249" t="s">
        <v>24</v>
      </c>
      <c r="AE142" s="249" t="s">
        <v>1306</v>
      </c>
      <c r="AF142" s="305" t="s">
        <v>1326</v>
      </c>
      <c r="AG142" s="305" t="s">
        <v>1312</v>
      </c>
      <c r="AH142" s="305" t="s">
        <v>1313</v>
      </c>
      <c r="AI142" s="305" t="s">
        <v>1314</v>
      </c>
      <c r="AJ142" s="305" t="s">
        <v>1218</v>
      </c>
      <c r="AK142" s="250">
        <v>45756</v>
      </c>
      <c r="AL142" s="250">
        <v>45759</v>
      </c>
      <c r="AM142" s="306"/>
      <c r="AN142" s="307"/>
      <c r="AO142" s="307"/>
      <c r="AP142" s="307">
        <f t="shared" si="5"/>
        <v>0</v>
      </c>
      <c r="AQ142" s="308"/>
      <c r="AS142" s="544"/>
      <c r="AT142" s="614"/>
      <c r="AU142" s="592"/>
      <c r="AV142" s="592"/>
    </row>
    <row r="143" spans="1:48" ht="18" customHeight="1">
      <c r="A143" s="6" t="s">
        <v>1283</v>
      </c>
      <c r="B143" s="60">
        <v>45756</v>
      </c>
      <c r="C143" s="6" t="s">
        <v>1206</v>
      </c>
      <c r="D143" s="30">
        <v>4</v>
      </c>
      <c r="E143" s="6" t="s">
        <v>1184</v>
      </c>
      <c r="F143" s="6" t="s">
        <v>1185</v>
      </c>
      <c r="G143" s="30" t="s">
        <v>1315</v>
      </c>
      <c r="H143" s="6" t="str">
        <f>IFERROR(VLOOKUP(C143,DATA!$A$11:$L$64,3,FALSE),"")</f>
        <v>FRESH POMELO</v>
      </c>
      <c r="I143" s="347" t="s">
        <v>1307</v>
      </c>
      <c r="J143" s="7" t="s">
        <v>1315</v>
      </c>
      <c r="K143" s="347" t="s">
        <v>1316</v>
      </c>
      <c r="L143" s="62" t="s">
        <v>1283</v>
      </c>
      <c r="M143" s="191">
        <f>IFERROR(VLOOKUP(C143,DATA!$A$11:$L$71,4,FALSE),"")</f>
        <v>1</v>
      </c>
      <c r="N143" s="192">
        <f>IFERROR(VLOOKUP(C143,DATA!$A$11:$L$71,5,FALSE),"")</f>
        <v>0.9</v>
      </c>
      <c r="O143" s="359">
        <f>IFERROR(VLOOKUP(C143,DATA!$A$11:$L$71,6,FALSE),"")</f>
        <v>18</v>
      </c>
      <c r="P143" s="359">
        <f>IFERROR(VLOOKUP(C143,DATA!$A$11:$L$71,7,FALSE),"")</f>
        <v>16</v>
      </c>
      <c r="Q143" s="284">
        <v>1174</v>
      </c>
      <c r="R143" s="194" t="str">
        <f>IFERROR(VLOOKUP(C143,DATA!$A$11:$L$71,9,FALSE),"")</f>
        <v>CARTONS</v>
      </c>
      <c r="S143" s="195">
        <f>IFERROR(VLOOKUP(C143,DATA!$A$11:$L$71,10,FALSE),"")</f>
        <v>8</v>
      </c>
      <c r="T143" s="196" t="str">
        <f>IFERROR(VLOOKUP(C143,DATA!$A$11:$L$71,11,FALSE),"")</f>
        <v>15%</v>
      </c>
      <c r="U143" s="32" t="str">
        <f>IFERROR(VLOOKUP(C143,DATA!$A$11:$L$71,12,FALSE),"")</f>
        <v>BEIJING JUNYAO INTERNATIONAL</v>
      </c>
      <c r="V143" s="6" t="s">
        <v>1083</v>
      </c>
      <c r="W143" s="6" t="s">
        <v>1207</v>
      </c>
      <c r="X143" s="6" t="s">
        <v>192</v>
      </c>
      <c r="Y143" s="6" t="s">
        <v>193</v>
      </c>
      <c r="Z143" s="60">
        <v>45756</v>
      </c>
      <c r="AA143" s="318" t="s">
        <v>1308</v>
      </c>
      <c r="AB143" s="60">
        <v>45760</v>
      </c>
      <c r="AC143" s="60">
        <v>45766</v>
      </c>
      <c r="AD143" s="6" t="s">
        <v>1190</v>
      </c>
      <c r="AE143" s="6" t="s">
        <v>1309</v>
      </c>
      <c r="AF143" s="65" t="s">
        <v>1327</v>
      </c>
      <c r="AG143" s="65" t="s">
        <v>1317</v>
      </c>
      <c r="AH143" s="65" t="s">
        <v>1318</v>
      </c>
      <c r="AI143" s="65" t="s">
        <v>1319</v>
      </c>
      <c r="AJ143" s="65" t="s">
        <v>1192</v>
      </c>
      <c r="AK143" s="66">
        <v>45756</v>
      </c>
      <c r="AL143" s="66">
        <v>45758</v>
      </c>
      <c r="AM143" s="66"/>
      <c r="AN143" s="67"/>
      <c r="AO143" s="67"/>
      <c r="AP143" s="67">
        <f t="shared" si="5"/>
        <v>0</v>
      </c>
      <c r="AQ143" s="59"/>
    </row>
    <row r="144" spans="1:48" s="336" customFormat="1" ht="18" customHeight="1">
      <c r="A144" s="320" t="s">
        <v>1284</v>
      </c>
      <c r="B144" s="331">
        <v>45757</v>
      </c>
      <c r="C144" s="320" t="s">
        <v>1213</v>
      </c>
      <c r="D144" s="321">
        <v>5</v>
      </c>
      <c r="E144" s="320" t="s">
        <v>1320</v>
      </c>
      <c r="F144" s="320" t="s">
        <v>1325</v>
      </c>
      <c r="G144" s="321" t="s">
        <v>1225</v>
      </c>
      <c r="H144" s="320" t="str">
        <f>IFERROR(VLOOKUP(C144,DATA!$A$11:$L$64,3,FALSE),"")</f>
        <v>FRESH YOUNG COCONUT</v>
      </c>
      <c r="I144" s="337" t="s">
        <v>1321</v>
      </c>
      <c r="J144" s="322" t="s">
        <v>1328</v>
      </c>
      <c r="K144" s="337" t="s">
        <v>1329</v>
      </c>
      <c r="L144" s="323" t="s">
        <v>1284</v>
      </c>
      <c r="M144" s="324">
        <f>IFERROR(VLOOKUP(C144,DATA!$A$11:$L$71,4,FALSE),"")</f>
        <v>1</v>
      </c>
      <c r="N144" s="325">
        <f>IFERROR(VLOOKUP(C144,DATA!$A$11:$L$71,5,FALSE),"")</f>
        <v>0.9</v>
      </c>
      <c r="O144" s="325">
        <f>IFERROR(VLOOKUP(C144,DATA!$A$11:$L$71,6,FALSE),"")</f>
        <v>11.5</v>
      </c>
      <c r="P144" s="325">
        <f>IFERROR(VLOOKUP(C144,DATA!$A$11:$L$71,7,FALSE),"")</f>
        <v>11</v>
      </c>
      <c r="Q144" s="326">
        <f>IFERROR(VLOOKUP(C144,DATA!$A$11:$L$71,8,FALSE),"")</f>
        <v>2200</v>
      </c>
      <c r="R144" s="327" t="str">
        <f>IFERROR(VLOOKUP(C144,DATA!$A$11:$L$71,9,FALSE),"")</f>
        <v>CARTONS</v>
      </c>
      <c r="S144" s="328">
        <f>IFERROR(VLOOKUP(C144,DATA!$A$11:$L$71,10,FALSE),"")</f>
        <v>2</v>
      </c>
      <c r="T144" s="329" t="str">
        <f>IFERROR(VLOOKUP(C144,DATA!$A$11:$L$71,11,FALSE),"")</f>
        <v>15%</v>
      </c>
      <c r="U144" s="330" t="str">
        <f>IFERROR(VLOOKUP(C144,DATA!$A$11:$L$71,12,FALSE),"")</f>
        <v>SHANGHAI GOODFARMER BANANA CO.,LTD.</v>
      </c>
      <c r="V144" s="320" t="s">
        <v>1083</v>
      </c>
      <c r="W144" s="320" t="s">
        <v>1322</v>
      </c>
      <c r="X144" s="320" t="s">
        <v>192</v>
      </c>
      <c r="Y144" s="320" t="s">
        <v>193</v>
      </c>
      <c r="Z144" s="331">
        <v>45757</v>
      </c>
      <c r="AA144" s="339" t="s">
        <v>1323</v>
      </c>
      <c r="AB144" s="331">
        <v>45764</v>
      </c>
      <c r="AC144" s="331">
        <v>45768</v>
      </c>
      <c r="AD144" s="320" t="s">
        <v>13</v>
      </c>
      <c r="AE144" s="320" t="s">
        <v>1324</v>
      </c>
      <c r="AF144" s="332" t="s">
        <v>1330</v>
      </c>
      <c r="AG144" s="332" t="s">
        <v>1331</v>
      </c>
      <c r="AH144" s="332" t="s">
        <v>1332</v>
      </c>
      <c r="AI144" s="332" t="s">
        <v>1333</v>
      </c>
      <c r="AJ144" s="332" t="s">
        <v>1218</v>
      </c>
      <c r="AK144" s="331">
        <v>45758</v>
      </c>
      <c r="AL144" s="331">
        <v>45762</v>
      </c>
      <c r="AM144" s="333"/>
      <c r="AN144" s="334"/>
      <c r="AO144" s="334"/>
      <c r="AP144" s="334">
        <f t="shared" si="5"/>
        <v>0</v>
      </c>
      <c r="AQ144" s="335"/>
      <c r="AS144" s="545"/>
      <c r="AT144" s="615"/>
      <c r="AU144" s="593"/>
      <c r="AV144" s="593"/>
    </row>
    <row r="145" spans="1:48" s="336" customFormat="1" ht="18" customHeight="1">
      <c r="A145" s="320" t="s">
        <v>1285</v>
      </c>
      <c r="B145" s="331">
        <v>45764</v>
      </c>
      <c r="C145" s="320" t="s">
        <v>1213</v>
      </c>
      <c r="D145" s="321">
        <v>6</v>
      </c>
      <c r="E145" s="320" t="s">
        <v>1344</v>
      </c>
      <c r="F145" s="320" t="s">
        <v>1334</v>
      </c>
      <c r="G145" s="321" t="s">
        <v>1225</v>
      </c>
      <c r="H145" s="320" t="str">
        <f>IFERROR(VLOOKUP(C145,DATA!$A$11:$L$64,3,FALSE),"")</f>
        <v>FRESH YOUNG COCONUT</v>
      </c>
      <c r="I145" s="337" t="s">
        <v>1336</v>
      </c>
      <c r="J145" s="322" t="s">
        <v>1342</v>
      </c>
      <c r="K145" s="337" t="s">
        <v>1343</v>
      </c>
      <c r="L145" s="323" t="s">
        <v>1285</v>
      </c>
      <c r="M145" s="324">
        <f>IFERROR(VLOOKUP(C145,DATA!$A$11:$L$71,4,FALSE),"")</f>
        <v>1</v>
      </c>
      <c r="N145" s="325">
        <f>IFERROR(VLOOKUP(C145,DATA!$A$11:$L$71,5,FALSE),"")</f>
        <v>0.9</v>
      </c>
      <c r="O145" s="325">
        <f>IFERROR(VLOOKUP(C145,DATA!$A$11:$L$71,6,FALSE),"")</f>
        <v>11.5</v>
      </c>
      <c r="P145" s="325">
        <f>IFERROR(VLOOKUP(C145,DATA!$A$11:$L$71,7,FALSE),"")</f>
        <v>11</v>
      </c>
      <c r="Q145" s="326">
        <f>IFERROR(VLOOKUP(C145,DATA!$A$11:$L$71,8,FALSE),"")</f>
        <v>2200</v>
      </c>
      <c r="R145" s="327" t="str">
        <f>IFERROR(VLOOKUP(C145,DATA!$A$11:$L$71,9,FALSE),"")</f>
        <v>CARTONS</v>
      </c>
      <c r="S145" s="328">
        <f>IFERROR(VLOOKUP(C145,DATA!$A$11:$L$71,10,FALSE),"")</f>
        <v>2</v>
      </c>
      <c r="T145" s="329" t="str">
        <f>IFERROR(VLOOKUP(C145,DATA!$A$11:$L$71,11,FALSE),"")</f>
        <v>15%</v>
      </c>
      <c r="U145" s="330" t="str">
        <f>IFERROR(VLOOKUP(C145,DATA!$A$11:$L$71,12,FALSE),"")</f>
        <v>SHANGHAI GOODFARMER BANANA CO.,LTD.</v>
      </c>
      <c r="V145" s="320" t="s">
        <v>1083</v>
      </c>
      <c r="W145" s="320" t="s">
        <v>1207</v>
      </c>
      <c r="X145" s="320" t="s">
        <v>192</v>
      </c>
      <c r="Y145" s="320" t="s">
        <v>1337</v>
      </c>
      <c r="Z145" s="331">
        <v>45764</v>
      </c>
      <c r="AA145" s="331" t="s">
        <v>1338</v>
      </c>
      <c r="AB145" s="331">
        <v>45776</v>
      </c>
      <c r="AC145" s="331">
        <v>45786</v>
      </c>
      <c r="AD145" s="320" t="s">
        <v>1256</v>
      </c>
      <c r="AE145" s="320" t="s">
        <v>1335</v>
      </c>
      <c r="AF145" s="332" t="s">
        <v>387</v>
      </c>
      <c r="AG145" s="332" t="s">
        <v>1339</v>
      </c>
      <c r="AH145" s="332" t="s">
        <v>1340</v>
      </c>
      <c r="AI145" s="332" t="s">
        <v>1341</v>
      </c>
      <c r="AJ145" s="332" t="s">
        <v>1218</v>
      </c>
      <c r="AK145" s="331">
        <v>45764</v>
      </c>
      <c r="AL145" s="331">
        <v>45769</v>
      </c>
      <c r="AM145" s="333"/>
      <c r="AN145" s="334"/>
      <c r="AO145" s="334"/>
      <c r="AP145" s="334">
        <f t="shared" si="5"/>
        <v>0</v>
      </c>
      <c r="AQ145" s="335"/>
      <c r="AS145" s="545"/>
      <c r="AT145" s="615"/>
      <c r="AU145" s="593"/>
      <c r="AV145" s="593"/>
    </row>
    <row r="146" spans="1:48" s="309" customFormat="1" ht="18" customHeight="1">
      <c r="A146" s="249" t="s">
        <v>1286</v>
      </c>
      <c r="B146" s="250">
        <v>45772</v>
      </c>
      <c r="C146" s="249" t="s">
        <v>1236</v>
      </c>
      <c r="D146" s="253">
        <v>5</v>
      </c>
      <c r="E146" s="249" t="s">
        <v>1239</v>
      </c>
      <c r="F146" s="249" t="s">
        <v>1240</v>
      </c>
      <c r="G146" s="253" t="s">
        <v>1348</v>
      </c>
      <c r="H146" s="249" t="str">
        <f>IFERROR(VLOOKUP(C146,DATA!$A$11:$L$64,3,FALSE),"")</f>
        <v>FRESH YOUNG COCONUT</v>
      </c>
      <c r="I146" s="362" t="s">
        <v>1347</v>
      </c>
      <c r="J146" s="367" t="s">
        <v>1349</v>
      </c>
      <c r="K146" s="367" t="s">
        <v>1350</v>
      </c>
      <c r="L146" s="297" t="s">
        <v>1286</v>
      </c>
      <c r="M146" s="298">
        <v>31.92</v>
      </c>
      <c r="N146" s="299">
        <v>29.24</v>
      </c>
      <c r="O146" s="366">
        <v>11.06</v>
      </c>
      <c r="P146" s="366">
        <v>10.06</v>
      </c>
      <c r="Q146" s="313">
        <v>1926</v>
      </c>
      <c r="R146" s="301" t="str">
        <f>IFERROR(VLOOKUP(C146,DATA!$A$11:$L$71,9,FALSE),"")</f>
        <v>CARTONS</v>
      </c>
      <c r="S146" s="302">
        <f>IFERROR(VLOOKUP(C146,DATA!$A$11:$L$71,10,FALSE),"")</f>
        <v>2</v>
      </c>
      <c r="T146" s="363" t="str">
        <f>IFERROR(VLOOKUP(C146,DATA!$A$11:$L$71,11,FALSE),"")</f>
        <v>5%</v>
      </c>
      <c r="U146" s="296" t="str">
        <f>IFERROR(VLOOKUP(C146,DATA!$A$11:$L$71,12,FALSE),"")</f>
        <v>SHENZHEN YUANZHILV TRADING CO., LTD.</v>
      </c>
      <c r="V146" s="249" t="s">
        <v>1083</v>
      </c>
      <c r="W146" s="249" t="s">
        <v>875</v>
      </c>
      <c r="X146" s="249" t="s">
        <v>192</v>
      </c>
      <c r="Y146" s="249" t="s">
        <v>571</v>
      </c>
      <c r="Z146" s="250">
        <v>45772</v>
      </c>
      <c r="AA146" s="250" t="s">
        <v>1345</v>
      </c>
      <c r="AB146" s="250">
        <v>45775</v>
      </c>
      <c r="AC146" s="250">
        <v>45780</v>
      </c>
      <c r="AD146" s="249" t="s">
        <v>24</v>
      </c>
      <c r="AE146" s="249" t="s">
        <v>1346</v>
      </c>
      <c r="AF146" s="305" t="s">
        <v>1351</v>
      </c>
      <c r="AG146" s="305" t="s">
        <v>1352</v>
      </c>
      <c r="AH146" s="305" t="s">
        <v>1353</v>
      </c>
      <c r="AI146" s="305" t="s">
        <v>1354</v>
      </c>
      <c r="AJ146" s="305" t="s">
        <v>1218</v>
      </c>
      <c r="AK146" s="250">
        <v>45772</v>
      </c>
      <c r="AL146" s="250">
        <v>45774</v>
      </c>
      <c r="AM146" s="306"/>
      <c r="AN146" s="307"/>
      <c r="AO146" s="307"/>
      <c r="AP146" s="307">
        <f t="shared" ref="AP146" si="11">AN146+AO146</f>
        <v>0</v>
      </c>
      <c r="AQ146" s="308"/>
      <c r="AS146" s="544"/>
      <c r="AT146" s="614"/>
      <c r="AU146" s="592"/>
      <c r="AV146" s="592"/>
    </row>
    <row r="147" spans="1:48" s="379" customFormat="1" ht="18" customHeight="1">
      <c r="A147" s="368" t="s">
        <v>1287</v>
      </c>
      <c r="B147" s="369">
        <v>45775</v>
      </c>
      <c r="C147" s="368" t="s">
        <v>1355</v>
      </c>
      <c r="D147" s="370">
        <v>1</v>
      </c>
      <c r="E147" s="368" t="s">
        <v>1399</v>
      </c>
      <c r="F147" s="368" t="s">
        <v>1400</v>
      </c>
      <c r="G147" s="370" t="s">
        <v>1402</v>
      </c>
      <c r="H147" s="368" t="str">
        <f>IFERROR(VLOOKUP(C147,DATA!$A$11:$L$64,3,FALSE),"")</f>
        <v>FRESH DURIAN</v>
      </c>
      <c r="I147" s="371" t="s">
        <v>1401</v>
      </c>
      <c r="J147" s="380" t="s">
        <v>1402</v>
      </c>
      <c r="K147" s="380" t="s">
        <v>1403</v>
      </c>
      <c r="L147" s="381" t="s">
        <v>1287</v>
      </c>
      <c r="M147" s="372">
        <f>IFERROR(VLOOKUP(C147,DATA!$A$11:$L$71,4,FALSE),"")</f>
        <v>5.69</v>
      </c>
      <c r="N147" s="373">
        <f>IFERROR(VLOOKUP(C147,DATA!$A$11:$L$71,5,FALSE),"")</f>
        <v>4.5999999999999996</v>
      </c>
      <c r="O147" s="373">
        <v>20</v>
      </c>
      <c r="P147" s="373">
        <f>IFERROR(VLOOKUP(C147,DATA!$A$11:$L$71,7,FALSE),"")</f>
        <v>18</v>
      </c>
      <c r="Q147" s="382">
        <f>IFERROR(VLOOKUP(C147,DATA!$A$11:$L$71,8,FALSE),"")</f>
        <v>960</v>
      </c>
      <c r="R147" s="374" t="str">
        <f>IFERROR(VLOOKUP(C147,DATA!$A$11:$L$71,9,FALSE),"")</f>
        <v>CARTONS</v>
      </c>
      <c r="S147" s="375" t="str">
        <f>IFERROR(VLOOKUP(C147,DATA!$A$11:$L$71,10,FALSE),"")</f>
        <v>+13</v>
      </c>
      <c r="T147" s="376" t="str">
        <f>IFERROR(VLOOKUP(C147,DATA!$A$11:$L$71,11,FALSE),"")</f>
        <v>30%</v>
      </c>
      <c r="U147" s="377" t="str">
        <f>IFERROR(VLOOKUP(C147,DATA!$A$11:$L$71,12,FALSE),"")</f>
        <v>SICHUAN COMMERCIAL INVESTMENT INVESTMENT CO., LTD.</v>
      </c>
      <c r="V147" s="368" t="s">
        <v>1083</v>
      </c>
      <c r="W147" s="368" t="s">
        <v>1408</v>
      </c>
      <c r="X147" s="368" t="s">
        <v>192</v>
      </c>
      <c r="Y147" s="368" t="s">
        <v>1233</v>
      </c>
      <c r="Z147" s="369">
        <v>45775</v>
      </c>
      <c r="AA147" s="386" t="s">
        <v>1409</v>
      </c>
      <c r="AB147" s="369">
        <v>45779</v>
      </c>
      <c r="AC147" s="369">
        <v>45783</v>
      </c>
      <c r="AD147" s="368" t="s">
        <v>24</v>
      </c>
      <c r="AE147" s="368" t="s">
        <v>1404</v>
      </c>
      <c r="AF147" s="383" t="s">
        <v>387</v>
      </c>
      <c r="AG147" s="383" t="s">
        <v>1405</v>
      </c>
      <c r="AH147" s="383" t="s">
        <v>1406</v>
      </c>
      <c r="AI147" s="383" t="s">
        <v>1407</v>
      </c>
      <c r="AJ147" s="383" t="s">
        <v>197</v>
      </c>
      <c r="AK147" s="369">
        <v>45775</v>
      </c>
      <c r="AL147" s="369">
        <v>45778</v>
      </c>
      <c r="AM147" s="384"/>
      <c r="AN147" s="385"/>
      <c r="AO147" s="385"/>
      <c r="AP147" s="385">
        <f t="shared" si="5"/>
        <v>0</v>
      </c>
      <c r="AQ147" s="378"/>
      <c r="AS147" s="546"/>
      <c r="AT147" s="616"/>
      <c r="AU147" s="594"/>
      <c r="AV147" s="594"/>
    </row>
    <row r="148" spans="1:48" s="402" customFormat="1" ht="18" customHeight="1">
      <c r="A148" s="388" t="s">
        <v>1288</v>
      </c>
      <c r="B148" s="399">
        <v>45776</v>
      </c>
      <c r="C148" s="388" t="s">
        <v>1414</v>
      </c>
      <c r="D148" s="389">
        <v>1</v>
      </c>
      <c r="E148" s="388" t="s">
        <v>1415</v>
      </c>
      <c r="F148" s="388" t="s">
        <v>1416</v>
      </c>
      <c r="G148" s="389" t="s">
        <v>1417</v>
      </c>
      <c r="H148" s="388" t="str">
        <f>IFERROR(VLOOKUP(C148,DATA!$A$11:$L$64,3,FALSE),"")</f>
        <v>FRESH MANGOSTEEN</v>
      </c>
      <c r="I148" s="390" t="s">
        <v>1413</v>
      </c>
      <c r="J148" s="404" t="s">
        <v>1417</v>
      </c>
      <c r="K148" s="404" t="s">
        <v>1418</v>
      </c>
      <c r="L148" s="391" t="s">
        <v>1288</v>
      </c>
      <c r="M148" s="392">
        <f>IFERROR(VLOOKUP(C148,DATA!$A$11:$L$71,4,FALSE),"")</f>
        <v>3.3</v>
      </c>
      <c r="N148" s="393">
        <f>IFERROR(VLOOKUP(C148,DATA!$A$11:$L$71,5,FALSE),"")</f>
        <v>3</v>
      </c>
      <c r="O148" s="393">
        <f>IFERROR(VLOOKUP(C148,DATA!$A$11:$L$71,6,FALSE),"")</f>
        <v>8</v>
      </c>
      <c r="P148" s="393">
        <f>IFERROR(VLOOKUP(C148,DATA!$A$11:$L$71,7,FALSE),"")</f>
        <v>7</v>
      </c>
      <c r="Q148" s="394">
        <f>IFERROR(VLOOKUP(C148,DATA!$A$11:$L$71,8,FALSE),"")</f>
        <v>2400</v>
      </c>
      <c r="R148" s="395" t="str">
        <f>IFERROR(VLOOKUP(C148,DATA!$A$11:$L$71,9,FALSE),"")</f>
        <v>PLASTIC BASKETS</v>
      </c>
      <c r="S148" s="396">
        <f>IFERROR(VLOOKUP(C148,DATA!$A$11:$L$71,10,FALSE),"")</f>
        <v>11</v>
      </c>
      <c r="T148" s="397" t="str">
        <f>IFERROR(VLOOKUP(C148,DATA!$A$11:$L$71,11,FALSE),"")</f>
        <v>5%</v>
      </c>
      <c r="U148" s="398" t="str">
        <f>IFERROR(VLOOKUP(C148,DATA!$A$11:$L$71,12,FALSE),"")</f>
        <v>YMT FRUITS LIMITED</v>
      </c>
      <c r="V148" s="388" t="s">
        <v>1083</v>
      </c>
      <c r="W148" s="388" t="s">
        <v>875</v>
      </c>
      <c r="X148" s="388" t="s">
        <v>192</v>
      </c>
      <c r="Y148" s="388" t="s">
        <v>571</v>
      </c>
      <c r="Z148" s="399">
        <v>45776</v>
      </c>
      <c r="AA148" s="403" t="s">
        <v>1410</v>
      </c>
      <c r="AB148" s="399">
        <v>45780</v>
      </c>
      <c r="AC148" s="399">
        <v>45784</v>
      </c>
      <c r="AD148" s="388" t="s">
        <v>1411</v>
      </c>
      <c r="AE148" s="388" t="s">
        <v>1412</v>
      </c>
      <c r="AF148" s="395" t="s">
        <v>1419</v>
      </c>
      <c r="AG148" s="395" t="s">
        <v>1421</v>
      </c>
      <c r="AH148" s="395" t="s">
        <v>1420</v>
      </c>
      <c r="AI148" s="395" t="s">
        <v>1422</v>
      </c>
      <c r="AJ148" s="395" t="s">
        <v>197</v>
      </c>
      <c r="AK148" s="399">
        <v>45776</v>
      </c>
      <c r="AL148" s="399">
        <v>45778</v>
      </c>
      <c r="AM148" s="400"/>
      <c r="AN148" s="397"/>
      <c r="AO148" s="397"/>
      <c r="AP148" s="397">
        <f t="shared" si="5"/>
        <v>0</v>
      </c>
      <c r="AQ148" s="401"/>
      <c r="AS148" s="547"/>
      <c r="AT148" s="617"/>
      <c r="AU148" s="595"/>
      <c r="AV148" s="595"/>
    </row>
    <row r="149" spans="1:48" s="402" customFormat="1" ht="18" customHeight="1">
      <c r="A149" s="388" t="s">
        <v>1289</v>
      </c>
      <c r="B149" s="399">
        <v>45777</v>
      </c>
      <c r="C149" s="388" t="s">
        <v>1414</v>
      </c>
      <c r="D149" s="389">
        <v>2</v>
      </c>
      <c r="E149" s="388" t="s">
        <v>1415</v>
      </c>
      <c r="F149" s="388" t="s">
        <v>1416</v>
      </c>
      <c r="G149" s="389" t="s">
        <v>1427</v>
      </c>
      <c r="H149" s="388" t="str">
        <f>IFERROR(VLOOKUP(C149,DATA!$A$11:$L$64,3,FALSE),"")</f>
        <v>FRESH MANGOSTEEN</v>
      </c>
      <c r="I149" s="390" t="s">
        <v>1425</v>
      </c>
      <c r="J149" s="405" t="s">
        <v>1427</v>
      </c>
      <c r="K149" s="405" t="s">
        <v>1428</v>
      </c>
      <c r="L149" s="391" t="s">
        <v>1289</v>
      </c>
      <c r="M149" s="392">
        <f>IFERROR(VLOOKUP(C149,DATA!$A$11:$L$71,4,FALSE),"")</f>
        <v>3.3</v>
      </c>
      <c r="N149" s="393">
        <f>IFERROR(VLOOKUP(C149,DATA!$A$11:$L$71,5,FALSE),"")</f>
        <v>3</v>
      </c>
      <c r="O149" s="393">
        <f>IFERROR(VLOOKUP(C149,DATA!$A$11:$L$71,6,FALSE),"")</f>
        <v>8</v>
      </c>
      <c r="P149" s="393">
        <f>IFERROR(VLOOKUP(C149,DATA!$A$11:$L$71,7,FALSE),"")</f>
        <v>7</v>
      </c>
      <c r="Q149" s="394">
        <f>IFERROR(VLOOKUP(C149,DATA!$A$11:$L$71,8,FALSE),"")</f>
        <v>2400</v>
      </c>
      <c r="R149" s="395" t="str">
        <f>IFERROR(VLOOKUP(C149,DATA!$A$11:$L$71,9,FALSE),"")</f>
        <v>PLASTIC BASKETS</v>
      </c>
      <c r="S149" s="396">
        <f>IFERROR(VLOOKUP(C149,DATA!$A$11:$L$71,10,FALSE),"")</f>
        <v>11</v>
      </c>
      <c r="T149" s="397" t="str">
        <f>IFERROR(VLOOKUP(C149,DATA!$A$11:$L$71,11,FALSE),"")</f>
        <v>5%</v>
      </c>
      <c r="U149" s="398" t="str">
        <f>IFERROR(VLOOKUP(C149,DATA!$A$11:$L$71,12,FALSE),"")</f>
        <v>YMT FRUITS LIMITED</v>
      </c>
      <c r="V149" s="388" t="s">
        <v>1083</v>
      </c>
      <c r="W149" s="388" t="s">
        <v>875</v>
      </c>
      <c r="X149" s="388" t="s">
        <v>192</v>
      </c>
      <c r="Y149" s="388" t="s">
        <v>231</v>
      </c>
      <c r="Z149" s="399">
        <v>45777</v>
      </c>
      <c r="AA149" s="403" t="s">
        <v>1410</v>
      </c>
      <c r="AB149" s="399">
        <v>45781</v>
      </c>
      <c r="AC149" s="399">
        <v>45785</v>
      </c>
      <c r="AD149" s="388" t="s">
        <v>1411</v>
      </c>
      <c r="AE149" s="388" t="s">
        <v>1426</v>
      </c>
      <c r="AF149" s="406" t="s">
        <v>201</v>
      </c>
      <c r="AG149" s="406" t="s">
        <v>315</v>
      </c>
      <c r="AH149" s="406" t="s">
        <v>316</v>
      </c>
      <c r="AI149" s="406" t="s">
        <v>1435</v>
      </c>
      <c r="AJ149" s="395" t="s">
        <v>197</v>
      </c>
      <c r="AK149" s="399">
        <v>45777</v>
      </c>
      <c r="AL149" s="399">
        <v>45778</v>
      </c>
      <c r="AM149" s="407"/>
      <c r="AN149" s="408"/>
      <c r="AO149" s="408"/>
      <c r="AP149" s="408">
        <f t="shared" si="5"/>
        <v>0</v>
      </c>
      <c r="AQ149" s="401"/>
      <c r="AS149" s="547"/>
      <c r="AT149" s="617"/>
      <c r="AU149" s="595"/>
      <c r="AV149" s="595"/>
    </row>
    <row r="150" spans="1:48" s="425" customFormat="1" ht="18" customHeight="1">
      <c r="A150" s="409" t="s">
        <v>1290</v>
      </c>
      <c r="B150" s="410">
        <v>45779</v>
      </c>
      <c r="C150" s="409" t="s">
        <v>1429</v>
      </c>
      <c r="D150" s="411">
        <v>3</v>
      </c>
      <c r="E150" s="409" t="s">
        <v>1415</v>
      </c>
      <c r="F150" s="409" t="s">
        <v>1416</v>
      </c>
      <c r="G150" s="411" t="s">
        <v>1440</v>
      </c>
      <c r="H150" s="409" t="str">
        <f>IFERROR(VLOOKUP(C150,DATA!$A$11:$L$64,3,FALSE),"")</f>
        <v>FRESH MANGOSTEEN</v>
      </c>
      <c r="I150" s="412" t="s">
        <v>1430</v>
      </c>
      <c r="J150" s="413" t="s">
        <v>1440</v>
      </c>
      <c r="K150" s="413" t="s">
        <v>1441</v>
      </c>
      <c r="L150" s="414" t="s">
        <v>1290</v>
      </c>
      <c r="M150" s="415">
        <f>IFERROR(VLOOKUP(C150,DATA!$A$11:$L$71,4,FALSE),"")</f>
        <v>3.3</v>
      </c>
      <c r="N150" s="416">
        <f>IFERROR(VLOOKUP(C150,DATA!$A$11:$L$71,5,FALSE),"")</f>
        <v>3</v>
      </c>
      <c r="O150" s="461">
        <v>8.5</v>
      </c>
      <c r="P150" s="416">
        <f>IFERROR(VLOOKUP(C150,DATA!$A$11:$L$71,7,FALSE),"")</f>
        <v>7</v>
      </c>
      <c r="Q150" s="460">
        <v>2304</v>
      </c>
      <c r="R150" s="417" t="str">
        <f>IFERROR(VLOOKUP(C150,DATA!$A$11:$L$71,9,FALSE),"")</f>
        <v>PLASTIC BASKETS</v>
      </c>
      <c r="S150" s="418">
        <f>IFERROR(VLOOKUP(C150,DATA!$A$11:$L$71,10,FALSE),"")</f>
        <v>11</v>
      </c>
      <c r="T150" s="419" t="str">
        <f>IFERROR(VLOOKUP(C150,DATA!$A$11:$L$71,11,FALSE),"")</f>
        <v>5%</v>
      </c>
      <c r="U150" s="420" t="str">
        <f>IFERROR(VLOOKUP(C150,DATA!$A$11:$L$71,12,FALSE),"")</f>
        <v>BEIJING JUNYAO INTERNATIONAL</v>
      </c>
      <c r="V150" s="409" t="s">
        <v>1083</v>
      </c>
      <c r="W150" s="409" t="s">
        <v>211</v>
      </c>
      <c r="X150" s="409" t="s">
        <v>192</v>
      </c>
      <c r="Y150" s="409" t="s">
        <v>571</v>
      </c>
      <c r="Z150" s="410">
        <v>45779</v>
      </c>
      <c r="AA150" s="426" t="s">
        <v>1433</v>
      </c>
      <c r="AB150" s="410">
        <v>45783</v>
      </c>
      <c r="AC150" s="410">
        <v>45787</v>
      </c>
      <c r="AD150" s="409" t="s">
        <v>13</v>
      </c>
      <c r="AE150" s="409" t="s">
        <v>1431</v>
      </c>
      <c r="AF150" s="421" t="s">
        <v>1419</v>
      </c>
      <c r="AG150" s="417" t="s">
        <v>1421</v>
      </c>
      <c r="AH150" s="417" t="s">
        <v>1420</v>
      </c>
      <c r="AI150" s="417" t="s">
        <v>1445</v>
      </c>
      <c r="AJ150" s="421" t="s">
        <v>197</v>
      </c>
      <c r="AK150" s="422">
        <v>45780</v>
      </c>
      <c r="AL150" s="422">
        <v>45782</v>
      </c>
      <c r="AM150" s="422"/>
      <c r="AN150" s="423"/>
      <c r="AO150" s="423"/>
      <c r="AP150" s="423">
        <f t="shared" si="5"/>
        <v>0</v>
      </c>
      <c r="AQ150" s="424"/>
      <c r="AS150" s="548"/>
      <c r="AT150" s="618"/>
      <c r="AU150" s="596"/>
      <c r="AV150" s="596"/>
    </row>
    <row r="151" spans="1:48" s="446" customFormat="1" ht="18" customHeight="1">
      <c r="A151" s="427" t="s">
        <v>1291</v>
      </c>
      <c r="B151" s="428">
        <v>45779</v>
      </c>
      <c r="C151" s="427" t="s">
        <v>1444</v>
      </c>
      <c r="D151" s="429">
        <v>3</v>
      </c>
      <c r="E151" s="430" t="s">
        <v>1442</v>
      </c>
      <c r="F151" s="427" t="s">
        <v>1443</v>
      </c>
      <c r="G151" s="429" t="s">
        <v>1436</v>
      </c>
      <c r="H151" s="427" t="str">
        <f>IFERROR(VLOOKUP(C151,DATA!$A$11:$L$64,3,FALSE),"")</f>
        <v>FRESH MANGOSTEEN</v>
      </c>
      <c r="I151" s="431" t="s">
        <v>1432</v>
      </c>
      <c r="J151" s="432" t="s">
        <v>1436</v>
      </c>
      <c r="K151" s="432" t="s">
        <v>1437</v>
      </c>
      <c r="L151" s="433" t="s">
        <v>1291</v>
      </c>
      <c r="M151" s="434">
        <f>IFERROR(VLOOKUP(C151,DATA!$A$11:$L$71,4,FALSE),"")</f>
        <v>3.3</v>
      </c>
      <c r="N151" s="435">
        <f>IFERROR(VLOOKUP(C151,DATA!$A$11:$L$71,5,FALSE),"")</f>
        <v>3</v>
      </c>
      <c r="O151" s="435">
        <f>IFERROR(VLOOKUP(C151,DATA!$A$11:$L$71,6,FALSE),"")</f>
        <v>8.5</v>
      </c>
      <c r="P151" s="435">
        <f>IFERROR(VLOOKUP(C151,DATA!$A$11:$L$71,7,FALSE),"")</f>
        <v>7</v>
      </c>
      <c r="Q151" s="448">
        <v>1344</v>
      </c>
      <c r="R151" s="436" t="str">
        <f>IFERROR(VLOOKUP(C151,DATA!$A$11:$L$71,9,FALSE),"")</f>
        <v>PLASTIC BASKETS</v>
      </c>
      <c r="S151" s="437">
        <f>IFERROR(VLOOKUP(C151,DATA!$A$11:$L$71,10,FALSE),"")</f>
        <v>11</v>
      </c>
      <c r="T151" s="438" t="str">
        <f>IFERROR(VLOOKUP(C151,DATA!$A$11:$L$71,11,FALSE),"")</f>
        <v>5%</v>
      </c>
      <c r="U151" s="439" t="str">
        <f>IFERROR(VLOOKUP(C151,DATA!$A$11:$L$71,12,FALSE),"")</f>
        <v>BEIJING JUNYAO INTERNATIONAL</v>
      </c>
      <c r="V151" s="427" t="s">
        <v>1083</v>
      </c>
      <c r="W151" s="427" t="s">
        <v>211</v>
      </c>
      <c r="X151" s="427" t="s">
        <v>192</v>
      </c>
      <c r="Y151" s="427" t="s">
        <v>571</v>
      </c>
      <c r="Z151" s="428">
        <v>45779</v>
      </c>
      <c r="AA151" s="440" t="s">
        <v>1433</v>
      </c>
      <c r="AB151" s="428">
        <v>45783</v>
      </c>
      <c r="AC151" s="428">
        <v>45787</v>
      </c>
      <c r="AD151" s="427" t="s">
        <v>13</v>
      </c>
      <c r="AE151" s="427" t="s">
        <v>1431</v>
      </c>
      <c r="AF151" s="441" t="s">
        <v>387</v>
      </c>
      <c r="AG151" s="441" t="s">
        <v>1434</v>
      </c>
      <c r="AH151" s="442" t="s">
        <v>1438</v>
      </c>
      <c r="AI151" s="441" t="s">
        <v>1439</v>
      </c>
      <c r="AJ151" s="441" t="s">
        <v>197</v>
      </c>
      <c r="AK151" s="443">
        <v>45780</v>
      </c>
      <c r="AL151" s="443">
        <v>45781</v>
      </c>
      <c r="AM151" s="443"/>
      <c r="AN151" s="444"/>
      <c r="AO151" s="444"/>
      <c r="AP151" s="444">
        <f t="shared" si="5"/>
        <v>0</v>
      </c>
      <c r="AQ151" s="445"/>
      <c r="AS151" s="549"/>
      <c r="AT151" s="619"/>
      <c r="AU151" s="587"/>
      <c r="AV151" s="587"/>
    </row>
    <row r="152" spans="1:48" s="425" customFormat="1" ht="18" customHeight="1">
      <c r="A152" s="409" t="s">
        <v>1292</v>
      </c>
      <c r="B152" s="410">
        <v>45782</v>
      </c>
      <c r="C152" s="409" t="s">
        <v>1429</v>
      </c>
      <c r="D152" s="411">
        <v>4</v>
      </c>
      <c r="E152" s="409" t="s">
        <v>1415</v>
      </c>
      <c r="F152" s="409" t="s">
        <v>1416</v>
      </c>
      <c r="G152" s="411" t="s">
        <v>1448</v>
      </c>
      <c r="H152" s="409" t="str">
        <f>IFERROR(VLOOKUP(C152,DATA!$A$11:$L$64,3,FALSE),"")</f>
        <v>FRESH MANGOSTEEN</v>
      </c>
      <c r="I152" s="412" t="s">
        <v>1449</v>
      </c>
      <c r="J152" s="413" t="s">
        <v>1448</v>
      </c>
      <c r="K152" s="413" t="s">
        <v>1457</v>
      </c>
      <c r="L152" s="414" t="s">
        <v>1292</v>
      </c>
      <c r="M152" s="415">
        <f>IFERROR(VLOOKUP(C152,DATA!$A$11:$L$71,4,FALSE),"")</f>
        <v>3.3</v>
      </c>
      <c r="N152" s="416">
        <f>IFERROR(VLOOKUP(C152,DATA!$A$11:$L$71,5,FALSE),"")</f>
        <v>3</v>
      </c>
      <c r="O152" s="461">
        <v>8.5</v>
      </c>
      <c r="P152" s="416">
        <f>IFERROR(VLOOKUP(C152,DATA!$A$11:$L$71,7,FALSE),"")</f>
        <v>7</v>
      </c>
      <c r="Q152" s="460">
        <v>2304</v>
      </c>
      <c r="R152" s="417" t="str">
        <f>IFERROR(VLOOKUP(C152,DATA!$A$11:$L$71,9,FALSE),"")</f>
        <v>PLASTIC BASKETS</v>
      </c>
      <c r="S152" s="418">
        <f>IFERROR(VLOOKUP(C152,DATA!$A$11:$L$71,10,FALSE),"")</f>
        <v>11</v>
      </c>
      <c r="T152" s="419" t="str">
        <f>IFERROR(VLOOKUP(C152,DATA!$A$11:$L$71,11,FALSE),"")</f>
        <v>5%</v>
      </c>
      <c r="U152" s="420" t="str">
        <f>IFERROR(VLOOKUP(C152,DATA!$A$11:$L$71,12,FALSE),"")</f>
        <v>BEIJING JUNYAO INTERNATIONAL</v>
      </c>
      <c r="V152" s="409" t="s">
        <v>190</v>
      </c>
      <c r="W152" s="409" t="s">
        <v>686</v>
      </c>
      <c r="X152" s="409" t="s">
        <v>192</v>
      </c>
      <c r="Y152" s="409" t="s">
        <v>864</v>
      </c>
      <c r="Z152" s="410">
        <v>45782</v>
      </c>
      <c r="AA152" s="426" t="s">
        <v>1446</v>
      </c>
      <c r="AB152" s="410">
        <v>45785</v>
      </c>
      <c r="AC152" s="410">
        <v>45789</v>
      </c>
      <c r="AD152" s="409" t="s">
        <v>13</v>
      </c>
      <c r="AE152" s="409" t="s">
        <v>1447</v>
      </c>
      <c r="AF152" s="421" t="s">
        <v>201</v>
      </c>
      <c r="AG152" s="421" t="s">
        <v>326</v>
      </c>
      <c r="AH152" s="421" t="s">
        <v>327</v>
      </c>
      <c r="AI152" s="421" t="s">
        <v>1450</v>
      </c>
      <c r="AJ152" s="421" t="s">
        <v>197</v>
      </c>
      <c r="AK152" s="410">
        <v>45782</v>
      </c>
      <c r="AL152" s="410">
        <v>45784</v>
      </c>
      <c r="AM152" s="422"/>
      <c r="AN152" s="423"/>
      <c r="AO152" s="423"/>
      <c r="AP152" s="423">
        <f t="shared" si="5"/>
        <v>0</v>
      </c>
      <c r="AQ152" s="424"/>
      <c r="AS152" s="548"/>
      <c r="AT152" s="618"/>
      <c r="AU152" s="596"/>
      <c r="AV152" s="596"/>
    </row>
    <row r="153" spans="1:48" s="484" customFormat="1">
      <c r="A153" s="465" t="s">
        <v>1293</v>
      </c>
      <c r="B153" s="466">
        <v>45782</v>
      </c>
      <c r="C153" s="465" t="s">
        <v>1453</v>
      </c>
      <c r="D153" s="467">
        <v>1</v>
      </c>
      <c r="E153" s="465" t="s">
        <v>1454</v>
      </c>
      <c r="F153" s="468" t="s">
        <v>1455</v>
      </c>
      <c r="G153" s="467" t="s">
        <v>1466</v>
      </c>
      <c r="H153" s="465" t="str">
        <f>IFERROR(VLOOKUP(C153,DATA!$A$11:$L$64,3,FALSE),"")</f>
        <v>FRESH DURIAN</v>
      </c>
      <c r="I153" s="469" t="s">
        <v>1456</v>
      </c>
      <c r="J153" s="470" t="s">
        <v>1466</v>
      </c>
      <c r="K153" s="470" t="s">
        <v>1467</v>
      </c>
      <c r="L153" s="471" t="s">
        <v>1293</v>
      </c>
      <c r="M153" s="472">
        <f>IFERROR(VLOOKUP(C153,DATA!$A$11:$L$71,4,FALSE),"")</f>
        <v>5.69</v>
      </c>
      <c r="N153" s="473">
        <f>IFERROR(VLOOKUP(C153,DATA!$A$11:$L$71,5,FALSE),"")</f>
        <v>4.5999999999999996</v>
      </c>
      <c r="O153" s="473">
        <f>IFERROR(VLOOKUP(C153,DATA!$A$11:$L$71,6,FALSE),"")</f>
        <v>20</v>
      </c>
      <c r="P153" s="473">
        <f>IFERROR(VLOOKUP(C153,DATA!$A$11:$L$71,7,FALSE),"")</f>
        <v>18</v>
      </c>
      <c r="Q153" s="474">
        <f>IFERROR(VLOOKUP(C153,DATA!$A$11:$L$71,8,FALSE),"")</f>
        <v>960</v>
      </c>
      <c r="R153" s="475" t="str">
        <f>IFERROR(VLOOKUP(C153,DATA!$A$11:$L$71,9,FALSE),"")</f>
        <v>CARTONS</v>
      </c>
      <c r="S153" s="476">
        <f>IFERROR(VLOOKUP(C153,DATA!$A$11:$L$71,10,FALSE),"")</f>
        <v>14</v>
      </c>
      <c r="T153" s="477" t="str">
        <f>IFERROR(VLOOKUP(C153,DATA!$A$11:$L$71,11,FALSE),"")</f>
        <v>35%</v>
      </c>
      <c r="U153" s="478" t="str">
        <f>IFERROR(VLOOKUP(C153,DATA!$A$11:$L$71,12,FALSE),"")</f>
        <v>Guangdong Tailinda Fruit Co., Ltd.</v>
      </c>
      <c r="V153" s="465" t="s">
        <v>1083</v>
      </c>
      <c r="W153" s="465" t="s">
        <v>1458</v>
      </c>
      <c r="X153" s="465" t="s">
        <v>192</v>
      </c>
      <c r="Y153" s="465" t="s">
        <v>1233</v>
      </c>
      <c r="Z153" s="466">
        <v>45782</v>
      </c>
      <c r="AA153" s="479" t="s">
        <v>1459</v>
      </c>
      <c r="AB153" s="466">
        <v>45788</v>
      </c>
      <c r="AC153" s="466">
        <v>45792</v>
      </c>
      <c r="AD153" s="465" t="s">
        <v>24</v>
      </c>
      <c r="AE153" s="465" t="s">
        <v>1460</v>
      </c>
      <c r="AF153" s="480" t="s">
        <v>201</v>
      </c>
      <c r="AG153" s="480" t="s">
        <v>1461</v>
      </c>
      <c r="AH153" s="480" t="s">
        <v>1462</v>
      </c>
      <c r="AI153" s="480" t="s">
        <v>1463</v>
      </c>
      <c r="AJ153" s="480" t="s">
        <v>197</v>
      </c>
      <c r="AK153" s="481">
        <v>45782</v>
      </c>
      <c r="AL153" s="481"/>
      <c r="AM153" s="481"/>
      <c r="AN153" s="482"/>
      <c r="AO153" s="482"/>
      <c r="AP153" s="482">
        <f t="shared" si="5"/>
        <v>0</v>
      </c>
      <c r="AQ153" s="483"/>
      <c r="AS153" s="550"/>
      <c r="AT153" s="620"/>
      <c r="AU153" s="597"/>
      <c r="AV153" s="597"/>
    </row>
    <row r="154" spans="1:48" s="484" customFormat="1" ht="18" customHeight="1">
      <c r="A154" s="465" t="s">
        <v>1294</v>
      </c>
      <c r="B154" s="466">
        <v>45783</v>
      </c>
      <c r="C154" s="465" t="s">
        <v>1453</v>
      </c>
      <c r="D154" s="467">
        <v>2</v>
      </c>
      <c r="E154" s="465" t="s">
        <v>1454</v>
      </c>
      <c r="F154" s="468" t="s">
        <v>1455</v>
      </c>
      <c r="G154" s="467" t="s">
        <v>1468</v>
      </c>
      <c r="H154" s="465" t="str">
        <f>IFERROR(VLOOKUP(C154,DATA!$A$11:$L$64,3,FALSE),"")</f>
        <v>FRESH DURIAN</v>
      </c>
      <c r="I154" s="469" t="s">
        <v>1464</v>
      </c>
      <c r="J154" s="470" t="s">
        <v>1468</v>
      </c>
      <c r="K154" s="470" t="s">
        <v>1469</v>
      </c>
      <c r="L154" s="471" t="s">
        <v>1294</v>
      </c>
      <c r="M154" s="472">
        <f>IFERROR(VLOOKUP(C154,DATA!$A$11:$L$71,4,FALSE),"")</f>
        <v>5.69</v>
      </c>
      <c r="N154" s="473">
        <f>IFERROR(VLOOKUP(C154,DATA!$A$11:$L$71,5,FALSE),"")</f>
        <v>4.5999999999999996</v>
      </c>
      <c r="O154" s="473">
        <f>IFERROR(VLOOKUP(C154,DATA!$A$11:$L$71,6,FALSE),"")</f>
        <v>20</v>
      </c>
      <c r="P154" s="473">
        <f>IFERROR(VLOOKUP(C154,DATA!$A$11:$L$71,7,FALSE),"")</f>
        <v>18</v>
      </c>
      <c r="Q154" s="474">
        <f>IFERROR(VLOOKUP(C154,DATA!$A$11:$L$71,8,FALSE),"")</f>
        <v>960</v>
      </c>
      <c r="R154" s="475" t="str">
        <f>IFERROR(VLOOKUP(C154,DATA!$A$11:$L$71,9,FALSE),"")</f>
        <v>CARTONS</v>
      </c>
      <c r="S154" s="476">
        <f>IFERROR(VLOOKUP(C154,DATA!$A$11:$L$71,10,FALSE),"")</f>
        <v>14</v>
      </c>
      <c r="T154" s="477" t="str">
        <f>IFERROR(VLOOKUP(C154,DATA!$A$11:$L$71,11,FALSE),"")</f>
        <v>35%</v>
      </c>
      <c r="U154" s="478" t="str">
        <f>IFERROR(VLOOKUP(C154,DATA!$A$11:$L$71,12,FALSE),"")</f>
        <v>Guangdong Tailinda Fruit Co., Ltd.</v>
      </c>
      <c r="V154" s="465" t="s">
        <v>1083</v>
      </c>
      <c r="W154" s="465" t="s">
        <v>1458</v>
      </c>
      <c r="X154" s="465" t="s">
        <v>192</v>
      </c>
      <c r="Y154" s="465" t="s">
        <v>1233</v>
      </c>
      <c r="Z154" s="466">
        <v>45783</v>
      </c>
      <c r="AA154" s="479" t="s">
        <v>1459</v>
      </c>
      <c r="AB154" s="466">
        <v>45788</v>
      </c>
      <c r="AC154" s="466">
        <v>45792</v>
      </c>
      <c r="AD154" s="465" t="s">
        <v>24</v>
      </c>
      <c r="AE154" s="465" t="s">
        <v>1460</v>
      </c>
      <c r="AF154" s="480" t="s">
        <v>201</v>
      </c>
      <c r="AG154" s="480" t="s">
        <v>315</v>
      </c>
      <c r="AH154" s="480" t="s">
        <v>316</v>
      </c>
      <c r="AI154" s="480" t="s">
        <v>1435</v>
      </c>
      <c r="AJ154" s="480" t="s">
        <v>197</v>
      </c>
      <c r="AK154" s="481">
        <v>45783</v>
      </c>
      <c r="AL154" s="481"/>
      <c r="AM154" s="481"/>
      <c r="AN154" s="482"/>
      <c r="AO154" s="482"/>
      <c r="AP154" s="482">
        <f t="shared" si="5"/>
        <v>0</v>
      </c>
      <c r="AQ154" s="483"/>
      <c r="AS154" s="550"/>
      <c r="AT154" s="620"/>
      <c r="AU154" s="597"/>
      <c r="AV154" s="597"/>
    </row>
    <row r="155" spans="1:48" s="425" customFormat="1" ht="18" customHeight="1">
      <c r="A155" s="280" t="s">
        <v>1295</v>
      </c>
      <c r="B155" s="410">
        <v>45783</v>
      </c>
      <c r="C155" s="409" t="s">
        <v>1429</v>
      </c>
      <c r="D155" s="411">
        <v>10</v>
      </c>
      <c r="E155" s="409" t="s">
        <v>1415</v>
      </c>
      <c r="F155" s="409" t="s">
        <v>1416</v>
      </c>
      <c r="G155" s="281" t="s">
        <v>1472</v>
      </c>
      <c r="H155" s="409" t="str">
        <f>IFERROR(VLOOKUP(C155,DATA!$A$11:$L$64,3,FALSE),"")</f>
        <v>FRESH MANGOSTEEN</v>
      </c>
      <c r="I155" s="412" t="s">
        <v>1470</v>
      </c>
      <c r="J155" s="413" t="s">
        <v>1472</v>
      </c>
      <c r="K155" s="413" t="s">
        <v>1473</v>
      </c>
      <c r="L155" s="414" t="s">
        <v>1295</v>
      </c>
      <c r="M155" s="511">
        <v>2.5</v>
      </c>
      <c r="N155" s="461">
        <v>2.2000000000000002</v>
      </c>
      <c r="O155" s="461">
        <v>8.5</v>
      </c>
      <c r="P155" s="416">
        <f>IFERROR(VLOOKUP(C155,DATA!$A$11:$L$71,7,FALSE),"")</f>
        <v>7</v>
      </c>
      <c r="Q155" s="460">
        <v>1536</v>
      </c>
      <c r="R155" s="417" t="str">
        <f>IFERROR(VLOOKUP(C155,DATA!$A$11:$L$71,9,FALSE),"")</f>
        <v>PLASTIC BASKETS</v>
      </c>
      <c r="S155" s="418">
        <f>IFERROR(VLOOKUP(C155,DATA!$A$11:$L$71,10,FALSE),"")</f>
        <v>11</v>
      </c>
      <c r="T155" s="419" t="str">
        <f>IFERROR(VLOOKUP(C155,DATA!$A$11:$L$71,11,FALSE),"")</f>
        <v>5%</v>
      </c>
      <c r="U155" s="420" t="str">
        <f>IFERROR(VLOOKUP(C155,DATA!$A$11:$L$71,12,FALSE),"")</f>
        <v>BEIJING JUNYAO INTERNATIONAL</v>
      </c>
      <c r="V155" s="409" t="s">
        <v>190</v>
      </c>
      <c r="W155" s="409" t="s">
        <v>884</v>
      </c>
      <c r="X155" s="409" t="s">
        <v>192</v>
      </c>
      <c r="Y155" s="409" t="s">
        <v>571</v>
      </c>
      <c r="Z155" s="410">
        <v>45783</v>
      </c>
      <c r="AA155" s="426" t="s">
        <v>1471</v>
      </c>
      <c r="AB155" s="410">
        <v>45786</v>
      </c>
      <c r="AC155" s="410">
        <v>45791</v>
      </c>
      <c r="AD155" s="409" t="s">
        <v>13</v>
      </c>
      <c r="AE155" s="409" t="s">
        <v>1479</v>
      </c>
      <c r="AF155" s="421" t="s">
        <v>387</v>
      </c>
      <c r="AG155" s="421" t="s">
        <v>1405</v>
      </c>
      <c r="AH155" s="421" t="s">
        <v>1406</v>
      </c>
      <c r="AI155" s="421" t="s">
        <v>1407</v>
      </c>
      <c r="AJ155" s="421" t="s">
        <v>197</v>
      </c>
      <c r="AK155" s="422">
        <v>45783</v>
      </c>
      <c r="AL155" s="410">
        <v>45784</v>
      </c>
      <c r="AM155" s="422"/>
      <c r="AN155" s="423"/>
      <c r="AO155" s="423"/>
      <c r="AP155" s="423">
        <f t="shared" si="5"/>
        <v>0</v>
      </c>
      <c r="AQ155" s="424"/>
      <c r="AS155" s="548"/>
      <c r="AT155" s="618"/>
      <c r="AU155" s="596"/>
      <c r="AV155" s="596"/>
    </row>
    <row r="156" spans="1:48" s="425" customFormat="1" ht="18" customHeight="1">
      <c r="A156" s="409" t="s">
        <v>1296</v>
      </c>
      <c r="B156" s="410">
        <v>45784</v>
      </c>
      <c r="C156" s="409" t="s">
        <v>1429</v>
      </c>
      <c r="D156" s="411">
        <v>11</v>
      </c>
      <c r="E156" s="409" t="s">
        <v>1415</v>
      </c>
      <c r="F156" s="409" t="s">
        <v>1416</v>
      </c>
      <c r="G156" s="411" t="s">
        <v>1480</v>
      </c>
      <c r="H156" s="409" t="str">
        <f>IFERROR(VLOOKUP(C156,DATA!$A$11:$L$64,3,FALSE),"")</f>
        <v>FRESH MANGOSTEEN</v>
      </c>
      <c r="I156" s="412" t="s">
        <v>1474</v>
      </c>
      <c r="J156" s="413" t="s">
        <v>1480</v>
      </c>
      <c r="K156" s="413" t="s">
        <v>1481</v>
      </c>
      <c r="L156" s="414" t="s">
        <v>1296</v>
      </c>
      <c r="M156" s="415">
        <f>IFERROR(VLOOKUP(C156,DATA!$A$11:$L$71,4,FALSE),"")</f>
        <v>3.3</v>
      </c>
      <c r="N156" s="416">
        <f>IFERROR(VLOOKUP(C156,DATA!$A$11:$L$71,5,FALSE),"")</f>
        <v>3</v>
      </c>
      <c r="O156" s="461">
        <v>8.5</v>
      </c>
      <c r="P156" s="416">
        <f>IFERROR(VLOOKUP(C156,DATA!$A$11:$L$71,7,FALSE),"")</f>
        <v>7</v>
      </c>
      <c r="Q156" s="460">
        <v>1824</v>
      </c>
      <c r="R156" s="417" t="str">
        <f>IFERROR(VLOOKUP(C156,DATA!$A$11:$L$71,9,FALSE),"")</f>
        <v>PLASTIC BASKETS</v>
      </c>
      <c r="S156" s="418">
        <f>IFERROR(VLOOKUP(C156,DATA!$A$11:$L$71,10,FALSE),"")</f>
        <v>11</v>
      </c>
      <c r="T156" s="419" t="str">
        <f>IFERROR(VLOOKUP(C156,DATA!$A$11:$L$71,11,FALSE),"")</f>
        <v>5%</v>
      </c>
      <c r="U156" s="420" t="str">
        <f>IFERROR(VLOOKUP(C156,DATA!$A$11:$L$71,12,FALSE),"")</f>
        <v>BEIJING JUNYAO INTERNATIONAL</v>
      </c>
      <c r="V156" s="409" t="s">
        <v>1083</v>
      </c>
      <c r="W156" s="409" t="s">
        <v>875</v>
      </c>
      <c r="X156" s="409" t="s">
        <v>192</v>
      </c>
      <c r="Y156" s="409" t="s">
        <v>571</v>
      </c>
      <c r="Z156" s="410">
        <v>45784</v>
      </c>
      <c r="AA156" s="426" t="s">
        <v>1475</v>
      </c>
      <c r="AB156" s="410">
        <v>45788</v>
      </c>
      <c r="AC156" s="410">
        <v>45793</v>
      </c>
      <c r="AD156" s="409" t="s">
        <v>13</v>
      </c>
      <c r="AE156" s="409" t="s">
        <v>1476</v>
      </c>
      <c r="AF156" s="421" t="s">
        <v>201</v>
      </c>
      <c r="AG156" s="417" t="s">
        <v>1477</v>
      </c>
      <c r="AH156" s="417" t="s">
        <v>203</v>
      </c>
      <c r="AI156" s="464" t="s">
        <v>1478</v>
      </c>
      <c r="AJ156" s="417" t="s">
        <v>197</v>
      </c>
      <c r="AK156" s="410">
        <v>45784</v>
      </c>
      <c r="AL156" s="410">
        <v>45786</v>
      </c>
      <c r="AM156" s="463"/>
      <c r="AN156" s="419"/>
      <c r="AO156" s="419"/>
      <c r="AP156" s="419">
        <f t="shared" si="5"/>
        <v>0</v>
      </c>
      <c r="AQ156" s="424"/>
      <c r="AS156" s="548"/>
      <c r="AT156" s="618"/>
      <c r="AU156" s="596"/>
      <c r="AV156" s="596"/>
    </row>
    <row r="157" spans="1:48" s="425" customFormat="1" ht="18" customHeight="1">
      <c r="A157" s="512" t="s">
        <v>1297</v>
      </c>
      <c r="B157" s="410">
        <v>45785</v>
      </c>
      <c r="C157" s="409" t="s">
        <v>1429</v>
      </c>
      <c r="D157" s="411">
        <v>15</v>
      </c>
      <c r="E157" s="409" t="s">
        <v>1415</v>
      </c>
      <c r="F157" s="409" t="s">
        <v>1416</v>
      </c>
      <c r="G157" s="281" t="s">
        <v>1488</v>
      </c>
      <c r="H157" s="409" t="str">
        <f>IFERROR(VLOOKUP(C157,DATA!$A$11:$L$64,3,FALSE),"")</f>
        <v>FRESH MANGOSTEEN</v>
      </c>
      <c r="I157" s="412" t="s">
        <v>1487</v>
      </c>
      <c r="J157" s="413" t="s">
        <v>1488</v>
      </c>
      <c r="K157" s="413" t="s">
        <v>1535</v>
      </c>
      <c r="L157" s="414" t="s">
        <v>1297</v>
      </c>
      <c r="M157" s="511">
        <v>2.5</v>
      </c>
      <c r="N157" s="461">
        <v>2.2000000000000002</v>
      </c>
      <c r="O157" s="461">
        <v>8.5</v>
      </c>
      <c r="P157" s="416">
        <f>IFERROR(VLOOKUP(C157,DATA!$A$11:$L$71,7,FALSE),"")</f>
        <v>7</v>
      </c>
      <c r="Q157" s="460">
        <v>1824</v>
      </c>
      <c r="R157" s="417" t="str">
        <f>IFERROR(VLOOKUP(C157,DATA!$A$11:$L$71,9,FALSE),"")</f>
        <v>PLASTIC BASKETS</v>
      </c>
      <c r="S157" s="418">
        <f>IFERROR(VLOOKUP(C157,DATA!$A$11:$L$71,10,FALSE),"")</f>
        <v>11</v>
      </c>
      <c r="T157" s="419" t="str">
        <f>IFERROR(VLOOKUP(C157,DATA!$A$11:$L$71,11,FALSE),"")</f>
        <v>5%</v>
      </c>
      <c r="U157" s="420" t="str">
        <f>IFERROR(VLOOKUP(C157,DATA!$A$11:$L$71,12,FALSE),"")</f>
        <v>BEIJING JUNYAO INTERNATIONAL</v>
      </c>
      <c r="V157" s="409" t="s">
        <v>190</v>
      </c>
      <c r="W157" s="409" t="s">
        <v>478</v>
      </c>
      <c r="X157" s="409" t="s">
        <v>192</v>
      </c>
      <c r="Y157" s="409" t="s">
        <v>222</v>
      </c>
      <c r="Z157" s="410">
        <v>45785</v>
      </c>
      <c r="AA157" s="426" t="s">
        <v>1482</v>
      </c>
      <c r="AB157" s="410">
        <v>45793</v>
      </c>
      <c r="AC157" s="410">
        <v>45797</v>
      </c>
      <c r="AD157" s="409" t="s">
        <v>24</v>
      </c>
      <c r="AE157" s="409" t="s">
        <v>1534</v>
      </c>
      <c r="AF157" s="417" t="s">
        <v>1483</v>
      </c>
      <c r="AG157" s="417" t="s">
        <v>1484</v>
      </c>
      <c r="AH157" s="417" t="s">
        <v>1485</v>
      </c>
      <c r="AI157" s="417" t="s">
        <v>1486</v>
      </c>
      <c r="AJ157" s="417" t="s">
        <v>197</v>
      </c>
      <c r="AK157" s="463">
        <v>45785</v>
      </c>
      <c r="AL157" s="463">
        <v>45787</v>
      </c>
      <c r="AM157" s="463"/>
      <c r="AN157" s="419"/>
      <c r="AO157" s="419"/>
      <c r="AP157" s="419">
        <f t="shared" si="5"/>
        <v>0</v>
      </c>
      <c r="AQ157" s="424"/>
      <c r="AS157" s="548"/>
      <c r="AT157" s="618"/>
      <c r="AU157" s="596"/>
      <c r="AV157" s="596"/>
    </row>
    <row r="158" spans="1:48" s="425" customFormat="1" ht="18" customHeight="1">
      <c r="A158" s="280" t="s">
        <v>1298</v>
      </c>
      <c r="B158" s="410">
        <v>45786</v>
      </c>
      <c r="C158" s="409" t="s">
        <v>1429</v>
      </c>
      <c r="D158" s="411">
        <v>16</v>
      </c>
      <c r="E158" s="409" t="s">
        <v>1415</v>
      </c>
      <c r="F158" s="409" t="s">
        <v>1416</v>
      </c>
      <c r="G158" s="281" t="s">
        <v>1494</v>
      </c>
      <c r="H158" s="409" t="str">
        <f>IFERROR(VLOOKUP(C158,DATA!$A$11:$L$64,3,FALSE),"")</f>
        <v>FRESH MANGOSTEEN</v>
      </c>
      <c r="I158" s="412" t="s">
        <v>1489</v>
      </c>
      <c r="J158" s="413" t="s">
        <v>1494</v>
      </c>
      <c r="K158" s="413" t="s">
        <v>1495</v>
      </c>
      <c r="L158" s="414" t="s">
        <v>1298</v>
      </c>
      <c r="M158" s="511">
        <v>2.5</v>
      </c>
      <c r="N158" s="461">
        <v>2.2000000000000002</v>
      </c>
      <c r="O158" s="461">
        <v>8.5</v>
      </c>
      <c r="P158" s="416">
        <f>IFERROR(VLOOKUP(C158,DATA!$A$11:$L$71,7,FALSE),"")</f>
        <v>7</v>
      </c>
      <c r="Q158" s="460">
        <v>1632</v>
      </c>
      <c r="R158" s="417" t="str">
        <f>IFERROR(VLOOKUP(C158,DATA!$A$11:$L$71,9,FALSE),"")</f>
        <v>PLASTIC BASKETS</v>
      </c>
      <c r="S158" s="418">
        <v>10</v>
      </c>
      <c r="T158" s="419" t="str">
        <f>IFERROR(VLOOKUP(C158,DATA!$A$11:$L$71,11,FALSE),"")</f>
        <v>5%</v>
      </c>
      <c r="U158" s="420" t="str">
        <f>IFERROR(VLOOKUP(C158,DATA!$A$11:$L$71,12,FALSE),"")</f>
        <v>BEIJING JUNYAO INTERNATIONAL</v>
      </c>
      <c r="V158" s="409" t="s">
        <v>1083</v>
      </c>
      <c r="W158" s="409" t="s">
        <v>875</v>
      </c>
      <c r="X158" s="409" t="s">
        <v>192</v>
      </c>
      <c r="Y158" s="409" t="s">
        <v>571</v>
      </c>
      <c r="Z158" s="410">
        <v>45786</v>
      </c>
      <c r="AA158" s="426" t="s">
        <v>1490</v>
      </c>
      <c r="AB158" s="410">
        <v>45789</v>
      </c>
      <c r="AC158" s="410">
        <v>45795</v>
      </c>
      <c r="AD158" s="409" t="s">
        <v>13</v>
      </c>
      <c r="AE158" s="409" t="s">
        <v>1491</v>
      </c>
      <c r="AF158" s="421" t="s">
        <v>387</v>
      </c>
      <c r="AG158" s="421" t="s">
        <v>1339</v>
      </c>
      <c r="AH158" s="421" t="s">
        <v>215</v>
      </c>
      <c r="AI158" s="421" t="s">
        <v>1496</v>
      </c>
      <c r="AJ158" s="421" t="s">
        <v>197</v>
      </c>
      <c r="AK158" s="422">
        <v>45786</v>
      </c>
      <c r="AL158" s="422">
        <v>45788</v>
      </c>
      <c r="AM158" s="422"/>
      <c r="AN158" s="423"/>
      <c r="AO158" s="423"/>
      <c r="AP158" s="423">
        <f t="shared" si="5"/>
        <v>0</v>
      </c>
      <c r="AQ158" s="424"/>
      <c r="AS158" s="548"/>
      <c r="AT158" s="618"/>
      <c r="AU158" s="596"/>
      <c r="AV158" s="596"/>
    </row>
    <row r="159" spans="1:48" s="402" customFormat="1" ht="18" customHeight="1">
      <c r="A159" s="388" t="s">
        <v>1299</v>
      </c>
      <c r="B159" s="399">
        <v>45786</v>
      </c>
      <c r="C159" s="388" t="s">
        <v>1414</v>
      </c>
      <c r="D159" s="389">
        <v>3</v>
      </c>
      <c r="E159" s="388" t="s">
        <v>1415</v>
      </c>
      <c r="F159" s="388" t="s">
        <v>1416</v>
      </c>
      <c r="G159" s="389" t="s">
        <v>1500</v>
      </c>
      <c r="H159" s="388" t="str">
        <f>IFERROR(VLOOKUP(C159,DATA!$A$11:$L$64,3,FALSE),"")</f>
        <v>FRESH MANGOSTEEN</v>
      </c>
      <c r="I159" s="390" t="s">
        <v>1492</v>
      </c>
      <c r="J159" s="405" t="s">
        <v>1500</v>
      </c>
      <c r="K159" s="405" t="s">
        <v>1501</v>
      </c>
      <c r="L159" s="391" t="s">
        <v>1299</v>
      </c>
      <c r="M159" s="508">
        <v>93.337810000000005</v>
      </c>
      <c r="N159" s="507">
        <v>2.5</v>
      </c>
      <c r="O159" s="393">
        <f>IFERROR(VLOOKUP(C159,DATA!$A$11:$L$71,6,FALSE),"")</f>
        <v>8</v>
      </c>
      <c r="P159" s="393">
        <f>IFERROR(VLOOKUP(C159,DATA!$A$11:$L$71,7,FALSE),"")</f>
        <v>7</v>
      </c>
      <c r="Q159" s="502">
        <v>2304</v>
      </c>
      <c r="R159" s="395" t="str">
        <f>IFERROR(VLOOKUP(C159,DATA!$A$11:$L$71,9,FALSE),"")</f>
        <v>PLASTIC BASKETS</v>
      </c>
      <c r="S159" s="509">
        <v>10</v>
      </c>
      <c r="T159" s="397" t="str">
        <f>IFERROR(VLOOKUP(C159,DATA!$A$11:$L$71,11,FALSE),"")</f>
        <v>5%</v>
      </c>
      <c r="U159" s="398" t="str">
        <f>IFERROR(VLOOKUP(C159,DATA!$A$11:$L$71,12,FALSE),"")</f>
        <v>YMT FRUITS LIMITED</v>
      </c>
      <c r="V159" s="388" t="s">
        <v>1083</v>
      </c>
      <c r="W159" s="388" t="s">
        <v>875</v>
      </c>
      <c r="X159" s="388" t="s">
        <v>192</v>
      </c>
      <c r="Y159" s="388" t="s">
        <v>571</v>
      </c>
      <c r="Z159" s="399">
        <v>45786</v>
      </c>
      <c r="AA159" s="403" t="s">
        <v>1490</v>
      </c>
      <c r="AB159" s="399">
        <v>45791</v>
      </c>
      <c r="AC159" s="399">
        <v>45795</v>
      </c>
      <c r="AD159" s="388" t="s">
        <v>1411</v>
      </c>
      <c r="AE159" s="388" t="s">
        <v>1491</v>
      </c>
      <c r="AF159" s="406" t="s">
        <v>1497</v>
      </c>
      <c r="AG159" s="406" t="s">
        <v>600</v>
      </c>
      <c r="AH159" s="406" t="s">
        <v>1502</v>
      </c>
      <c r="AI159" s="406" t="s">
        <v>1503</v>
      </c>
      <c r="AJ159" s="406" t="s">
        <v>197</v>
      </c>
      <c r="AK159" s="399">
        <v>45786</v>
      </c>
      <c r="AL159" s="399">
        <v>45788</v>
      </c>
      <c r="AM159" s="407"/>
      <c r="AN159" s="408"/>
      <c r="AO159" s="408"/>
      <c r="AP159" s="408">
        <f t="shared" si="5"/>
        <v>0</v>
      </c>
      <c r="AQ159" s="401"/>
      <c r="AS159" s="547"/>
      <c r="AT159" s="617"/>
      <c r="AU159" s="595"/>
      <c r="AV159" s="595"/>
    </row>
    <row r="160" spans="1:48" s="425" customFormat="1" ht="18" customHeight="1">
      <c r="A160" s="280" t="s">
        <v>1300</v>
      </c>
      <c r="B160" s="410">
        <v>45787</v>
      </c>
      <c r="C160" s="409" t="s">
        <v>1429</v>
      </c>
      <c r="D160" s="411">
        <v>18</v>
      </c>
      <c r="E160" s="409" t="s">
        <v>1415</v>
      </c>
      <c r="F160" s="409" t="s">
        <v>1416</v>
      </c>
      <c r="G160" s="281" t="s">
        <v>1513</v>
      </c>
      <c r="H160" s="409" t="str">
        <f>IFERROR(VLOOKUP(C160,DATA!$A$11:$L$64,3,FALSE),"")</f>
        <v>FRESH MANGOSTEEN</v>
      </c>
      <c r="I160" s="412" t="s">
        <v>1493</v>
      </c>
      <c r="J160" s="413" t="s">
        <v>1513</v>
      </c>
      <c r="K160" s="413" t="s">
        <v>1514</v>
      </c>
      <c r="L160" s="414" t="s">
        <v>1300</v>
      </c>
      <c r="M160" s="511">
        <v>2.5</v>
      </c>
      <c r="N160" s="461">
        <v>2.2000000000000002</v>
      </c>
      <c r="O160" s="461">
        <v>8.5</v>
      </c>
      <c r="P160" s="416">
        <f>IFERROR(VLOOKUP(C160,DATA!$A$11:$L$71,7,FALSE),"")</f>
        <v>7</v>
      </c>
      <c r="Q160" s="460">
        <v>1632</v>
      </c>
      <c r="R160" s="417" t="str">
        <f>IFERROR(VLOOKUP(C160,DATA!$A$11:$L$71,9,FALSE),"")</f>
        <v>PLASTIC BASKETS</v>
      </c>
      <c r="S160" s="503">
        <v>10</v>
      </c>
      <c r="T160" s="419" t="str">
        <f>IFERROR(VLOOKUP(C160,DATA!$A$11:$L$71,11,FALSE),"")</f>
        <v>5%</v>
      </c>
      <c r="U160" s="420" t="str">
        <f>IFERROR(VLOOKUP(C160,DATA!$A$11:$L$71,12,FALSE),"")</f>
        <v>BEIJING JUNYAO INTERNATIONAL</v>
      </c>
      <c r="V160" s="409" t="s">
        <v>1083</v>
      </c>
      <c r="W160" s="409" t="s">
        <v>211</v>
      </c>
      <c r="X160" s="409" t="s">
        <v>192</v>
      </c>
      <c r="Y160" s="409" t="s">
        <v>571</v>
      </c>
      <c r="Z160" s="410">
        <v>45787</v>
      </c>
      <c r="AA160" s="426" t="s">
        <v>1498</v>
      </c>
      <c r="AB160" s="410">
        <v>45792</v>
      </c>
      <c r="AC160" s="410">
        <v>45796</v>
      </c>
      <c r="AD160" s="409" t="s">
        <v>13</v>
      </c>
      <c r="AE160" s="409" t="s">
        <v>1499</v>
      </c>
      <c r="AF160" s="421" t="s">
        <v>387</v>
      </c>
      <c r="AG160" s="421" t="s">
        <v>1505</v>
      </c>
      <c r="AH160" s="421" t="s">
        <v>1506</v>
      </c>
      <c r="AI160" s="421" t="s">
        <v>1507</v>
      </c>
      <c r="AJ160" s="421" t="s">
        <v>197</v>
      </c>
      <c r="AK160" s="422">
        <v>45787</v>
      </c>
      <c r="AL160" s="422">
        <v>45789</v>
      </c>
      <c r="AM160" s="422"/>
      <c r="AN160" s="423"/>
      <c r="AO160" s="423"/>
      <c r="AP160" s="423">
        <f t="shared" si="5"/>
        <v>0</v>
      </c>
      <c r="AQ160" s="424"/>
      <c r="AS160" s="548"/>
      <c r="AT160" s="618"/>
      <c r="AU160" s="596"/>
      <c r="AV160" s="596"/>
    </row>
    <row r="161" spans="1:48" s="425" customFormat="1" ht="18" customHeight="1">
      <c r="A161" s="280" t="s">
        <v>1301</v>
      </c>
      <c r="B161" s="410">
        <v>45787</v>
      </c>
      <c r="C161" s="409" t="s">
        <v>1429</v>
      </c>
      <c r="D161" s="411">
        <v>17</v>
      </c>
      <c r="E161" s="409" t="s">
        <v>1415</v>
      </c>
      <c r="F161" s="409" t="s">
        <v>1416</v>
      </c>
      <c r="G161" s="281" t="s">
        <v>1511</v>
      </c>
      <c r="H161" s="409" t="str">
        <f>IFERROR(VLOOKUP(C161,DATA!$A$11:$L$64,3,FALSE),"")</f>
        <v>FRESH MANGOSTEEN</v>
      </c>
      <c r="I161" s="413" t="s">
        <v>1504</v>
      </c>
      <c r="J161" s="413" t="s">
        <v>1511</v>
      </c>
      <c r="K161" s="413" t="s">
        <v>1512</v>
      </c>
      <c r="L161" s="414" t="s">
        <v>1301</v>
      </c>
      <c r="M161" s="511">
        <v>2.5</v>
      </c>
      <c r="N161" s="461">
        <v>2.2000000000000002</v>
      </c>
      <c r="O161" s="461">
        <v>8.5</v>
      </c>
      <c r="P161" s="416">
        <f>IFERROR(VLOOKUP(C161,DATA!$A$11:$L$71,7,FALSE),"")</f>
        <v>7</v>
      </c>
      <c r="Q161" s="460">
        <v>1632</v>
      </c>
      <c r="R161" s="417" t="str">
        <f>IFERROR(VLOOKUP(C161,DATA!$A$11:$L$71,9,FALSE),"")</f>
        <v>PLASTIC BASKETS</v>
      </c>
      <c r="S161" s="503">
        <v>10</v>
      </c>
      <c r="T161" s="419" t="str">
        <f>IFERROR(VLOOKUP(C161,DATA!$A$11:$L$71,11,FALSE),"")</f>
        <v>5%</v>
      </c>
      <c r="U161" s="420" t="str">
        <f>IFERROR(VLOOKUP(C161,DATA!$A$11:$L$71,12,FALSE),"")</f>
        <v>BEIJING JUNYAO INTERNATIONAL</v>
      </c>
      <c r="V161" s="409" t="s">
        <v>190</v>
      </c>
      <c r="W161" s="409" t="s">
        <v>211</v>
      </c>
      <c r="X161" s="409" t="s">
        <v>192</v>
      </c>
      <c r="Y161" s="409" t="s">
        <v>571</v>
      </c>
      <c r="Z161" s="410">
        <v>45787</v>
      </c>
      <c r="AA161" s="486" t="s">
        <v>1521</v>
      </c>
      <c r="AB161" s="485">
        <v>45792</v>
      </c>
      <c r="AC161" s="485">
        <v>45797</v>
      </c>
      <c r="AD161" s="409" t="s">
        <v>13</v>
      </c>
      <c r="AE161" s="409" t="s">
        <v>1499</v>
      </c>
      <c r="AF161" s="421" t="s">
        <v>387</v>
      </c>
      <c r="AG161" s="421" t="s">
        <v>1508</v>
      </c>
      <c r="AH161" s="421" t="s">
        <v>1509</v>
      </c>
      <c r="AI161" s="421" t="s">
        <v>1510</v>
      </c>
      <c r="AJ161" s="421" t="s">
        <v>197</v>
      </c>
      <c r="AK161" s="422">
        <v>45787</v>
      </c>
      <c r="AL161" s="422">
        <v>45789</v>
      </c>
      <c r="AM161" s="422"/>
      <c r="AN161" s="423"/>
      <c r="AO161" s="423"/>
      <c r="AP161" s="423">
        <f t="shared" si="5"/>
        <v>0</v>
      </c>
      <c r="AQ161" s="424"/>
      <c r="AS161" s="548"/>
      <c r="AT161" s="618"/>
      <c r="AU161" s="596"/>
      <c r="AV161" s="596"/>
    </row>
    <row r="162" spans="1:48" s="501" customFormat="1" ht="18" customHeight="1">
      <c r="A162" s="280" t="s">
        <v>1302</v>
      </c>
      <c r="B162" s="488">
        <v>45787</v>
      </c>
      <c r="C162" s="487" t="s">
        <v>1520</v>
      </c>
      <c r="D162" s="489">
        <v>1</v>
      </c>
      <c r="E162" s="487" t="s">
        <v>1516</v>
      </c>
      <c r="F162" s="487" t="s">
        <v>1517</v>
      </c>
      <c r="G162" s="281" t="s">
        <v>1518</v>
      </c>
      <c r="H162" s="487" t="str">
        <f>IFERROR(VLOOKUP(C162,DATA!$A$11:$L$64,3,FALSE),"")</f>
        <v>FRESH MANGOSTEEN</v>
      </c>
      <c r="I162" s="490" t="s">
        <v>1515</v>
      </c>
      <c r="J162" s="490" t="s">
        <v>1518</v>
      </c>
      <c r="K162" s="490" t="s">
        <v>1519</v>
      </c>
      <c r="L162" s="491" t="s">
        <v>1302</v>
      </c>
      <c r="M162" s="529">
        <v>2.5</v>
      </c>
      <c r="N162" s="529">
        <v>2.2000000000000002</v>
      </c>
      <c r="O162" s="492">
        <f>IFERROR(VLOOKUP(C162,DATA!$A$11:$L$71,6,FALSE),"")</f>
        <v>8.5</v>
      </c>
      <c r="P162" s="492">
        <f>IFERROR(VLOOKUP(C162,DATA!$A$11:$L$71,7,FALSE),"")</f>
        <v>7</v>
      </c>
      <c r="Q162" s="505">
        <v>1800</v>
      </c>
      <c r="R162" s="493" t="str">
        <f>IFERROR(VLOOKUP(C162,DATA!$A$11:$L$71,9,FALSE),"")</f>
        <v>PLASTIC BASKETS</v>
      </c>
      <c r="S162" s="504">
        <v>10</v>
      </c>
      <c r="T162" s="494" t="str">
        <f>IFERROR(VLOOKUP(C162,DATA!$A$11:$L$71,11,FALSE),"")</f>
        <v>5%</v>
      </c>
      <c r="U162" s="495" t="str">
        <f>IFERROR(VLOOKUP(C162,DATA!$A$11:$L$71,12,FALSE),"")</f>
        <v>BEIJING JUNYAO INTERNATIONAL</v>
      </c>
      <c r="V162" s="487" t="s">
        <v>190</v>
      </c>
      <c r="W162" s="487" t="s">
        <v>211</v>
      </c>
      <c r="X162" s="487" t="s">
        <v>192</v>
      </c>
      <c r="Y162" s="487" t="s">
        <v>571</v>
      </c>
      <c r="Z162" s="488">
        <v>45787</v>
      </c>
      <c r="AA162" s="496" t="s">
        <v>1521</v>
      </c>
      <c r="AB162" s="488">
        <v>45792</v>
      </c>
      <c r="AC162" s="488">
        <v>45797</v>
      </c>
      <c r="AD162" s="487" t="s">
        <v>13</v>
      </c>
      <c r="AE162" s="487" t="s">
        <v>1499</v>
      </c>
      <c r="AF162" s="497" t="s">
        <v>1497</v>
      </c>
      <c r="AG162" s="497" t="s">
        <v>600</v>
      </c>
      <c r="AH162" s="497" t="s">
        <v>1502</v>
      </c>
      <c r="AI162" s="497" t="s">
        <v>1533</v>
      </c>
      <c r="AJ162" s="497" t="s">
        <v>197</v>
      </c>
      <c r="AK162" s="498">
        <v>45788</v>
      </c>
      <c r="AL162" s="498">
        <v>45790</v>
      </c>
      <c r="AM162" s="498"/>
      <c r="AN162" s="499"/>
      <c r="AO162" s="499"/>
      <c r="AP162" s="499">
        <f t="shared" si="5"/>
        <v>0</v>
      </c>
      <c r="AQ162" s="500"/>
      <c r="AS162" s="501" t="s">
        <v>1686</v>
      </c>
      <c r="AT162" s="621" t="s">
        <v>1720</v>
      </c>
      <c r="AU162" s="598"/>
      <c r="AV162" s="598"/>
    </row>
    <row r="163" spans="1:48" ht="18" customHeight="1">
      <c r="A163" s="6" t="s">
        <v>1303</v>
      </c>
      <c r="B163" s="60">
        <v>45789</v>
      </c>
      <c r="C163" s="6" t="s">
        <v>1523</v>
      </c>
      <c r="D163" s="30">
        <v>1</v>
      </c>
      <c r="E163" s="6" t="s">
        <v>959</v>
      </c>
      <c r="F163" s="6" t="s">
        <v>227</v>
      </c>
      <c r="G163" s="30" t="s">
        <v>1536</v>
      </c>
      <c r="H163" s="6" t="str">
        <f>IFERROR(VLOOKUP(C163,DATA!$A$11:$L$64,3,FALSE),"")</f>
        <v>FRESH MANGOSTEEN</v>
      </c>
      <c r="I163" s="7" t="s">
        <v>1524</v>
      </c>
      <c r="J163" s="7" t="s">
        <v>1528</v>
      </c>
      <c r="K163" s="7" t="s">
        <v>1529</v>
      </c>
      <c r="L163" s="62" t="s">
        <v>1303</v>
      </c>
      <c r="M163" s="191">
        <f>IFERROR(VLOOKUP(C163,DATA!$A$11:$L$71,4,FALSE),"")</f>
        <v>3.3</v>
      </c>
      <c r="N163" s="192">
        <f>IFERROR(VLOOKUP(C163,DATA!$A$11:$L$71,5,FALSE),"")</f>
        <v>3</v>
      </c>
      <c r="O163" s="359">
        <v>9</v>
      </c>
      <c r="P163" s="359">
        <v>7.5</v>
      </c>
      <c r="Q163" s="193">
        <f>IFERROR(VLOOKUP(C163,DATA!$A$11:$L$71,8,FALSE),"")</f>
        <v>2400</v>
      </c>
      <c r="R163" s="194" t="str">
        <f>IFERROR(VLOOKUP(C163,DATA!$A$11:$L$71,9,FALSE),"")</f>
        <v>PLASTIC BASKETS</v>
      </c>
      <c r="S163" s="506">
        <v>9</v>
      </c>
      <c r="T163" s="196" t="str">
        <f>IFERROR(VLOOKUP(C163,DATA!$A$11:$L$71,11,FALSE),"")</f>
        <v>5%</v>
      </c>
      <c r="U163" s="32" t="str">
        <f>IFERROR(VLOOKUP(C163,DATA!$A$11:$L$71,12,FALSE),"")</f>
        <v>YU XING TRADE AND DEVELOPMENT COMPANY LIMITED</v>
      </c>
      <c r="V163" s="6" t="s">
        <v>1525</v>
      </c>
      <c r="W163" s="6" t="s">
        <v>686</v>
      </c>
      <c r="X163" s="6" t="s">
        <v>192</v>
      </c>
      <c r="Y163" s="6" t="s">
        <v>864</v>
      </c>
      <c r="Z163" s="60">
        <v>45789</v>
      </c>
      <c r="AA163" s="318" t="s">
        <v>1527</v>
      </c>
      <c r="AB163" s="60">
        <v>45792</v>
      </c>
      <c r="AC163" s="60">
        <v>45797</v>
      </c>
      <c r="AD163" s="6" t="s">
        <v>1411</v>
      </c>
      <c r="AE163" s="6" t="s">
        <v>1526</v>
      </c>
      <c r="AF163" s="65" t="s">
        <v>1497</v>
      </c>
      <c r="AG163" s="65" t="s">
        <v>1530</v>
      </c>
      <c r="AH163" s="65" t="s">
        <v>1531</v>
      </c>
      <c r="AI163" s="65" t="s">
        <v>1532</v>
      </c>
      <c r="AJ163" s="65" t="s">
        <v>197</v>
      </c>
      <c r="AK163" s="66">
        <v>45789</v>
      </c>
      <c r="AL163" s="66">
        <v>45792</v>
      </c>
      <c r="AM163" s="66"/>
      <c r="AN163" s="67"/>
      <c r="AO163" s="67"/>
      <c r="AP163" s="67">
        <f t="shared" si="5"/>
        <v>0</v>
      </c>
      <c r="AQ163" s="59"/>
      <c r="AS163" t="s">
        <v>1686</v>
      </c>
      <c r="AT163" s="611" t="s">
        <v>1411</v>
      </c>
    </row>
    <row r="164" spans="1:48" s="402" customFormat="1" ht="18" customHeight="1">
      <c r="A164" s="388" t="s">
        <v>1357</v>
      </c>
      <c r="B164" s="399">
        <v>45792</v>
      </c>
      <c r="C164" s="388" t="s">
        <v>1414</v>
      </c>
      <c r="D164" s="389">
        <v>4</v>
      </c>
      <c r="E164" s="388" t="s">
        <v>1415</v>
      </c>
      <c r="F164" s="388" t="s">
        <v>1416</v>
      </c>
      <c r="G164" s="389" t="s">
        <v>1540</v>
      </c>
      <c r="H164" s="388" t="str">
        <f>IFERROR(VLOOKUP(C164,DATA!$A$11:$L$64,3,FALSE),"")</f>
        <v>FRESH MANGOSTEEN</v>
      </c>
      <c r="I164" s="390" t="s">
        <v>1537</v>
      </c>
      <c r="J164" s="405" t="s">
        <v>1540</v>
      </c>
      <c r="K164" s="405" t="s">
        <v>1541</v>
      </c>
      <c r="L164" s="391" t="s">
        <v>1357</v>
      </c>
      <c r="M164" s="508">
        <v>93.337810000000005</v>
      </c>
      <c r="N164" s="507">
        <v>2.5</v>
      </c>
      <c r="O164" s="393">
        <f>IFERROR(VLOOKUP(C164,DATA!$A$11:$L$71,6,FALSE),"")</f>
        <v>8</v>
      </c>
      <c r="P164" s="393">
        <f>IFERROR(VLOOKUP(C164,DATA!$A$11:$L$71,7,FALSE),"")</f>
        <v>7</v>
      </c>
      <c r="Q164" s="502">
        <v>2304</v>
      </c>
      <c r="R164" s="395" t="str">
        <f>IFERROR(VLOOKUP(C164,DATA!$A$11:$L$71,9,FALSE),"")</f>
        <v>PLASTIC BASKETS</v>
      </c>
      <c r="S164" s="396">
        <f>IFERROR(VLOOKUP(C164,DATA!$A$11:$L$71,10,FALSE),"")</f>
        <v>11</v>
      </c>
      <c r="T164" s="397" t="str">
        <f>IFERROR(VLOOKUP(C164,DATA!$A$11:$L$71,11,FALSE),"")</f>
        <v>5%</v>
      </c>
      <c r="U164" s="398" t="str">
        <f>IFERROR(VLOOKUP(C164,DATA!$A$11:$L$71,12,FALSE),"")</f>
        <v>YMT FRUITS LIMITED</v>
      </c>
      <c r="V164" s="388" t="s">
        <v>1083</v>
      </c>
      <c r="W164" s="388" t="s">
        <v>875</v>
      </c>
      <c r="X164" s="388" t="s">
        <v>192</v>
      </c>
      <c r="Y164" s="388" t="s">
        <v>231</v>
      </c>
      <c r="Z164" s="399">
        <v>45792</v>
      </c>
      <c r="AA164" s="403" t="s">
        <v>1538</v>
      </c>
      <c r="AB164" s="399">
        <v>45795</v>
      </c>
      <c r="AC164" s="399">
        <v>45798</v>
      </c>
      <c r="AD164" s="388" t="s">
        <v>1411</v>
      </c>
      <c r="AE164" s="388" t="s">
        <v>1539</v>
      </c>
      <c r="AF164" s="406" t="s">
        <v>387</v>
      </c>
      <c r="AG164" s="406" t="s">
        <v>1405</v>
      </c>
      <c r="AH164" s="406" t="s">
        <v>1406</v>
      </c>
      <c r="AI164" s="406" t="s">
        <v>1407</v>
      </c>
      <c r="AJ164" s="406" t="s">
        <v>197</v>
      </c>
      <c r="AK164" s="399">
        <v>45792</v>
      </c>
      <c r="AL164" s="399">
        <v>45794</v>
      </c>
      <c r="AM164" s="407"/>
      <c r="AN164" s="408"/>
      <c r="AO164" s="408"/>
      <c r="AP164" s="408">
        <f t="shared" si="5"/>
        <v>0</v>
      </c>
      <c r="AQ164" s="401"/>
      <c r="AS164" s="402" t="s">
        <v>1686</v>
      </c>
      <c r="AT164" s="617" t="s">
        <v>1411</v>
      </c>
      <c r="AU164" s="595"/>
      <c r="AV164" s="595"/>
    </row>
    <row r="165" spans="1:48" s="446" customFormat="1" ht="18" customHeight="1">
      <c r="A165" s="427" t="s">
        <v>1358</v>
      </c>
      <c r="B165" s="428">
        <v>45793</v>
      </c>
      <c r="C165" s="427" t="s">
        <v>1444</v>
      </c>
      <c r="D165" s="429">
        <v>2</v>
      </c>
      <c r="E165" s="430" t="s">
        <v>1545</v>
      </c>
      <c r="F165" s="427" t="s">
        <v>1546</v>
      </c>
      <c r="G165" s="429" t="s">
        <v>1550</v>
      </c>
      <c r="H165" s="427" t="str">
        <f>IFERROR(VLOOKUP(C165,DATA!$A$11:$L$64,3,FALSE),"")</f>
        <v>FRESH MANGOSTEEN</v>
      </c>
      <c r="I165" s="431" t="s">
        <v>1542</v>
      </c>
      <c r="J165" s="432" t="s">
        <v>1550</v>
      </c>
      <c r="K165" s="432" t="s">
        <v>1551</v>
      </c>
      <c r="L165" s="433" t="s">
        <v>1358</v>
      </c>
      <c r="M165" s="513">
        <v>2.5</v>
      </c>
      <c r="N165" s="359">
        <v>2.2000000000000002</v>
      </c>
      <c r="O165" s="435">
        <f>IFERROR(VLOOKUP(C165,DATA!$A$11:$L$71,6,FALSE),"")</f>
        <v>8.5</v>
      </c>
      <c r="P165" s="435">
        <f>IFERROR(VLOOKUP(C165,DATA!$A$11:$L$71,7,FALSE),"")</f>
        <v>7</v>
      </c>
      <c r="Q165" s="448">
        <v>2136</v>
      </c>
      <c r="R165" s="436" t="str">
        <f>IFERROR(VLOOKUP(C165,DATA!$A$11:$L$71,9,FALSE),"")</f>
        <v>PLASTIC BASKETS</v>
      </c>
      <c r="S165" s="437">
        <f>IFERROR(VLOOKUP(C165,DATA!$A$11:$L$71,10,FALSE),"")</f>
        <v>11</v>
      </c>
      <c r="T165" s="510" t="s">
        <v>139</v>
      </c>
      <c r="U165" s="439" t="str">
        <f>IFERROR(VLOOKUP(C165,DATA!$A$11:$L$71,12,FALSE),"")</f>
        <v>BEIJING JUNYAO INTERNATIONAL</v>
      </c>
      <c r="V165" s="427" t="s">
        <v>1083</v>
      </c>
      <c r="W165" s="427" t="s">
        <v>211</v>
      </c>
      <c r="X165" s="427" t="s">
        <v>192</v>
      </c>
      <c r="Y165" s="427" t="s">
        <v>571</v>
      </c>
      <c r="Z165" s="428">
        <v>45793</v>
      </c>
      <c r="AA165" s="440" t="s">
        <v>1543</v>
      </c>
      <c r="AB165" s="428">
        <v>45798</v>
      </c>
      <c r="AC165" s="428">
        <v>45802</v>
      </c>
      <c r="AD165" s="427" t="s">
        <v>13</v>
      </c>
      <c r="AE165" s="427" t="s">
        <v>1544</v>
      </c>
      <c r="AF165" s="441" t="s">
        <v>387</v>
      </c>
      <c r="AG165" s="441" t="s">
        <v>1547</v>
      </c>
      <c r="AH165" s="442" t="s">
        <v>1548</v>
      </c>
      <c r="AI165" s="441" t="s">
        <v>1549</v>
      </c>
      <c r="AJ165" s="441" t="s">
        <v>197</v>
      </c>
      <c r="AK165" s="443">
        <v>45793</v>
      </c>
      <c r="AL165" s="443">
        <v>45795</v>
      </c>
      <c r="AM165" s="443"/>
      <c r="AN165" s="444"/>
      <c r="AO165" s="444"/>
      <c r="AP165" s="444">
        <f t="shared" si="5"/>
        <v>0</v>
      </c>
      <c r="AQ165" s="445"/>
      <c r="AS165" s="446" t="s">
        <v>1686</v>
      </c>
      <c r="AT165" s="605" t="s">
        <v>1719</v>
      </c>
      <c r="AU165" s="587"/>
      <c r="AV165" s="587"/>
    </row>
    <row r="166" spans="1:48" s="446" customFormat="1" ht="18" customHeight="1">
      <c r="A166" s="427" t="s">
        <v>1359</v>
      </c>
      <c r="B166" s="428">
        <v>45793</v>
      </c>
      <c r="C166" s="427" t="s">
        <v>1444</v>
      </c>
      <c r="D166" s="429">
        <v>2</v>
      </c>
      <c r="E166" s="430" t="s">
        <v>1545</v>
      </c>
      <c r="F166" s="427" t="s">
        <v>1546</v>
      </c>
      <c r="G166" s="429" t="s">
        <v>1555</v>
      </c>
      <c r="H166" s="427" t="str">
        <f>IFERROR(VLOOKUP(C166,DATA!$A$11:$L$64,3,FALSE),"")</f>
        <v>FRESH MANGOSTEEN</v>
      </c>
      <c r="I166" s="432" t="s">
        <v>1552</v>
      </c>
      <c r="J166" s="432" t="s">
        <v>1555</v>
      </c>
      <c r="K166" s="432" t="s">
        <v>1556</v>
      </c>
      <c r="L166" s="433" t="s">
        <v>1359</v>
      </c>
      <c r="M166" s="513">
        <v>2.5</v>
      </c>
      <c r="N166" s="359">
        <v>2.2000000000000002</v>
      </c>
      <c r="O166" s="435">
        <f>IFERROR(VLOOKUP(C166,DATA!$A$11:$L$71,6,FALSE),"")</f>
        <v>8.5</v>
      </c>
      <c r="P166" s="435">
        <f>IFERROR(VLOOKUP(C166,DATA!$A$11:$L$71,7,FALSE),"")</f>
        <v>7</v>
      </c>
      <c r="Q166" s="448">
        <v>2238</v>
      </c>
      <c r="R166" s="436" t="str">
        <f>IFERROR(VLOOKUP(C166,DATA!$A$11:$L$71,9,FALSE),"")</f>
        <v>PLASTIC BASKETS</v>
      </c>
      <c r="S166" s="437">
        <f>IFERROR(VLOOKUP(C166,DATA!$A$11:$L$71,10,FALSE),"")</f>
        <v>11</v>
      </c>
      <c r="T166" s="510" t="s">
        <v>139</v>
      </c>
      <c r="U166" s="439" t="str">
        <f>IFERROR(VLOOKUP(C166,DATA!$A$11:$L$71,12,FALSE),"")</f>
        <v>BEIJING JUNYAO INTERNATIONAL</v>
      </c>
      <c r="V166" s="427" t="s">
        <v>1083</v>
      </c>
      <c r="W166" s="427" t="s">
        <v>1322</v>
      </c>
      <c r="X166" s="427" t="s">
        <v>192</v>
      </c>
      <c r="Y166" s="427" t="s">
        <v>193</v>
      </c>
      <c r="Z166" s="428">
        <v>45793</v>
      </c>
      <c r="AA166" s="440" t="s">
        <v>1553</v>
      </c>
      <c r="AB166" s="428">
        <v>45796</v>
      </c>
      <c r="AC166" s="428">
        <v>45800</v>
      </c>
      <c r="AD166" s="427" t="s">
        <v>13</v>
      </c>
      <c r="AE166" s="427" t="s">
        <v>1554</v>
      </c>
      <c r="AF166" s="441" t="s">
        <v>201</v>
      </c>
      <c r="AG166" s="441" t="s">
        <v>1557</v>
      </c>
      <c r="AH166" s="441" t="s">
        <v>1462</v>
      </c>
      <c r="AI166" s="441" t="s">
        <v>1558</v>
      </c>
      <c r="AJ166" s="441" t="s">
        <v>197</v>
      </c>
      <c r="AK166" s="443">
        <v>45793</v>
      </c>
      <c r="AL166" s="443">
        <v>45795</v>
      </c>
      <c r="AM166" s="443"/>
      <c r="AN166" s="444"/>
      <c r="AO166" s="444"/>
      <c r="AP166" s="444">
        <f t="shared" si="5"/>
        <v>0</v>
      </c>
      <c r="AQ166" s="445"/>
      <c r="AS166" s="446" t="s">
        <v>1686</v>
      </c>
      <c r="AT166" s="605" t="s">
        <v>1718</v>
      </c>
      <c r="AU166" s="587"/>
      <c r="AV166" s="587"/>
    </row>
    <row r="167" spans="1:48" s="402" customFormat="1" ht="18" customHeight="1">
      <c r="A167" s="388" t="s">
        <v>1360</v>
      </c>
      <c r="B167" s="399">
        <v>45794</v>
      </c>
      <c r="C167" s="388" t="s">
        <v>1414</v>
      </c>
      <c r="D167" s="389">
        <v>5</v>
      </c>
      <c r="E167" s="388" t="s">
        <v>1415</v>
      </c>
      <c r="F167" s="388" t="s">
        <v>1416</v>
      </c>
      <c r="G167" s="389" t="s">
        <v>1560</v>
      </c>
      <c r="H167" s="388" t="str">
        <f>IFERROR(VLOOKUP(C167,DATA!$A$11:$L$64,3,FALSE),"")</f>
        <v>FRESH MANGOSTEEN</v>
      </c>
      <c r="I167" s="390" t="s">
        <v>1559</v>
      </c>
      <c r="J167" s="405" t="s">
        <v>1560</v>
      </c>
      <c r="K167" s="405" t="s">
        <v>1561</v>
      </c>
      <c r="L167" s="391" t="s">
        <v>1360</v>
      </c>
      <c r="M167" s="508">
        <v>93.337810000000005</v>
      </c>
      <c r="N167" s="507">
        <v>2.5</v>
      </c>
      <c r="O167" s="393">
        <f>IFERROR(VLOOKUP(C167,DATA!$A$11:$L$71,6,FALSE),"")</f>
        <v>8</v>
      </c>
      <c r="P167" s="393">
        <f>IFERROR(VLOOKUP(C167,DATA!$A$11:$L$71,7,FALSE),"")</f>
        <v>7</v>
      </c>
      <c r="Q167" s="502">
        <v>2304</v>
      </c>
      <c r="R167" s="395" t="str">
        <f>IFERROR(VLOOKUP(C167,DATA!$A$11:$L$71,9,FALSE),"")</f>
        <v>PLASTIC BASKETS</v>
      </c>
      <c r="S167" s="396">
        <f>IFERROR(VLOOKUP(C167,DATA!$A$11:$L$71,10,FALSE),"")</f>
        <v>11</v>
      </c>
      <c r="T167" s="397" t="str">
        <f>IFERROR(VLOOKUP(C167,DATA!$A$11:$L$71,11,FALSE),"")</f>
        <v>5%</v>
      </c>
      <c r="U167" s="398" t="str">
        <f>IFERROR(VLOOKUP(C167,DATA!$A$11:$L$71,12,FALSE),"")</f>
        <v>YMT FRUITS LIMITED</v>
      </c>
      <c r="V167" s="388" t="s">
        <v>190</v>
      </c>
      <c r="W167" s="388" t="s">
        <v>686</v>
      </c>
      <c r="X167" s="388" t="s">
        <v>192</v>
      </c>
      <c r="Y167" s="388" t="s">
        <v>231</v>
      </c>
      <c r="Z167" s="399">
        <v>45794</v>
      </c>
      <c r="AA167" s="403" t="s">
        <v>1543</v>
      </c>
      <c r="AB167" s="399">
        <v>45797</v>
      </c>
      <c r="AC167" s="399">
        <v>45800</v>
      </c>
      <c r="AD167" s="388" t="s">
        <v>1411</v>
      </c>
      <c r="AE167" s="388" t="s">
        <v>1539</v>
      </c>
      <c r="AF167" s="406" t="s">
        <v>387</v>
      </c>
      <c r="AG167" s="406" t="s">
        <v>1339</v>
      </c>
      <c r="AH167" s="406" t="s">
        <v>1340</v>
      </c>
      <c r="AI167" s="406" t="s">
        <v>1496</v>
      </c>
      <c r="AJ167" s="406" t="s">
        <v>197</v>
      </c>
      <c r="AK167" s="399">
        <v>45794</v>
      </c>
      <c r="AL167" s="399">
        <v>45795</v>
      </c>
      <c r="AM167" s="407"/>
      <c r="AN167" s="408"/>
      <c r="AO167" s="408"/>
      <c r="AP167" s="408">
        <f t="shared" si="5"/>
        <v>0</v>
      </c>
      <c r="AQ167" s="401"/>
      <c r="AS167" s="402" t="s">
        <v>1686</v>
      </c>
      <c r="AT167" s="617" t="s">
        <v>1411</v>
      </c>
      <c r="AU167" s="595"/>
      <c r="AV167" s="595"/>
    </row>
    <row r="168" spans="1:48" ht="18" customHeight="1">
      <c r="A168" s="6" t="s">
        <v>1361</v>
      </c>
      <c r="B168" s="60">
        <v>45797</v>
      </c>
      <c r="C168" s="530" t="s">
        <v>1562</v>
      </c>
      <c r="D168" s="30">
        <v>1</v>
      </c>
      <c r="E168" s="6" t="s">
        <v>1563</v>
      </c>
      <c r="F168" s="6" t="s">
        <v>1564</v>
      </c>
      <c r="G168" s="30" t="s">
        <v>1566</v>
      </c>
      <c r="H168" s="6" t="str">
        <f>IFERROR(VLOOKUP(C168,DATA!$A$11:$L$64,3,FALSE),"")</f>
        <v>FRESH MANGOSTEEN</v>
      </c>
      <c r="I168" s="7" t="s">
        <v>1568</v>
      </c>
      <c r="J168" s="7" t="s">
        <v>1566</v>
      </c>
      <c r="K168" s="7" t="s">
        <v>1567</v>
      </c>
      <c r="L168" s="62" t="s">
        <v>1361</v>
      </c>
      <c r="M168" s="191">
        <f>IFERROR(VLOOKUP(C168,DATA!$A$11:$L$71,4,FALSE),"")</f>
        <v>1.67</v>
      </c>
      <c r="N168" s="192">
        <f>IFERROR(VLOOKUP(C168,DATA!$A$11:$L$71,5,FALSE),"")</f>
        <v>1.55</v>
      </c>
      <c r="O168" s="192">
        <f>IFERROR(VLOOKUP(C168,DATA!$A$11:$L$71,6,FALSE),"")</f>
        <v>16</v>
      </c>
      <c r="P168" s="192">
        <f>IFERROR(VLOOKUP(C168,DATA!$A$11:$L$71,7,FALSE),"")</f>
        <v>14</v>
      </c>
      <c r="Q168" s="193">
        <f>IFERROR(VLOOKUP(C168,DATA!$A$11:$L$71,8,FALSE),"")</f>
        <v>1350</v>
      </c>
      <c r="R168" s="194" t="str">
        <f>IFERROR(VLOOKUP(C168,DATA!$A$11:$L$71,9,FALSE),"")</f>
        <v>PLASTIC BASKETS</v>
      </c>
      <c r="S168" s="195">
        <f>IFERROR(VLOOKUP(C168,DATA!$A$11:$L$71,10,FALSE),"")</f>
        <v>12</v>
      </c>
      <c r="T168" s="196" t="str">
        <f>IFERROR(VLOOKUP(C168,DATA!$A$11:$L$71,11,FALSE),"")</f>
        <v>5%</v>
      </c>
      <c r="U168" s="32" t="str">
        <f>IFERROR(VLOOKUP(C168,DATA!$A$11:$L$71,12,FALSE),"")</f>
        <v>Yunnan Xinjiyi Agricultural Technology CO.,Ltd.</v>
      </c>
      <c r="V168" s="6" t="s">
        <v>1083</v>
      </c>
      <c r="W168" s="6" t="s">
        <v>875</v>
      </c>
      <c r="X168" s="6" t="s">
        <v>192</v>
      </c>
      <c r="Y168" s="6" t="s">
        <v>231</v>
      </c>
      <c r="Z168" s="60">
        <v>45797</v>
      </c>
      <c r="AA168" s="318" t="s">
        <v>1569</v>
      </c>
      <c r="AB168" s="60">
        <v>45801</v>
      </c>
      <c r="AC168" s="60">
        <v>45805</v>
      </c>
      <c r="AD168" s="6" t="s">
        <v>13</v>
      </c>
      <c r="AE168" s="6" t="s">
        <v>1570</v>
      </c>
      <c r="AF168" s="65" t="s">
        <v>387</v>
      </c>
      <c r="AG168" s="65" t="s">
        <v>1571</v>
      </c>
      <c r="AH168" s="65" t="s">
        <v>1572</v>
      </c>
      <c r="AI168" s="65" t="s">
        <v>1573</v>
      </c>
      <c r="AJ168" s="65" t="s">
        <v>197</v>
      </c>
      <c r="AK168" s="66">
        <v>45797</v>
      </c>
      <c r="AL168" s="66">
        <v>45798</v>
      </c>
      <c r="AM168" s="66"/>
      <c r="AN168" s="67"/>
      <c r="AO168" s="67"/>
      <c r="AP168" s="67">
        <f t="shared" si="5"/>
        <v>0</v>
      </c>
      <c r="AQ168" s="59">
        <f>IFERROR(VLOOKUP(C168,DATA!A$54:$N54,13,0),FALSE)</f>
        <v>26</v>
      </c>
      <c r="AR168" s="59" t="str">
        <f>IFERROR(VLOOKUP(C168,DATA!A$54:$N54,14,0),"")</f>
        <v>(24 large pallets, 2 small pallets)</v>
      </c>
      <c r="AS168" t="s">
        <v>1687</v>
      </c>
      <c r="AT168" s="622" t="s">
        <v>1717</v>
      </c>
    </row>
    <row r="169" spans="1:48" s="528" customFormat="1" ht="18" customHeight="1">
      <c r="A169" s="514" t="s">
        <v>1362</v>
      </c>
      <c r="B169" s="515">
        <v>45799</v>
      </c>
      <c r="C169" s="514" t="s">
        <v>1576</v>
      </c>
      <c r="D169" s="516">
        <v>1</v>
      </c>
      <c r="E169" s="514" t="s">
        <v>1591</v>
      </c>
      <c r="F169" s="514" t="s">
        <v>1575</v>
      </c>
      <c r="G169" s="516" t="s">
        <v>1584</v>
      </c>
      <c r="H169" s="514" t="str">
        <f>IFERROR(VLOOKUP(C169,DATA!$A$11:$L$64,3,FALSE),"")</f>
        <v>FRESH MANGOSTEEN</v>
      </c>
      <c r="I169" s="517" t="s">
        <v>1578</v>
      </c>
      <c r="J169" s="517" t="s">
        <v>1584</v>
      </c>
      <c r="K169" s="517" t="s">
        <v>1585</v>
      </c>
      <c r="L169" s="518" t="s">
        <v>1362</v>
      </c>
      <c r="M169" s="534">
        <v>2.0499999999999998</v>
      </c>
      <c r="N169" s="533">
        <v>1.92</v>
      </c>
      <c r="O169" s="519">
        <f>IFERROR(VLOOKUP(C169,DATA!$A$11:$L$71,6,FALSE),"")</f>
        <v>16</v>
      </c>
      <c r="P169" s="519">
        <f>IFERROR(VLOOKUP(C169,DATA!$A$11:$L$71,7,FALSE),"")</f>
        <v>14</v>
      </c>
      <c r="Q169" s="531">
        <v>1336</v>
      </c>
      <c r="R169" s="520" t="str">
        <f>IFERROR(VLOOKUP(C169,DATA!$A$11:$L$71,9,FALSE),"")</f>
        <v>PLASTIC BASKETS</v>
      </c>
      <c r="S169" s="521">
        <f>IFERROR(VLOOKUP(C169,DATA!$A$11:$L$71,10,FALSE),"")</f>
        <v>10</v>
      </c>
      <c r="T169" s="522" t="str">
        <f>IFERROR(VLOOKUP(C169,DATA!$A$11:$L$71,11,FALSE),"")</f>
        <v>5%</v>
      </c>
      <c r="U169" s="523" t="str">
        <f>IFERROR(VLOOKUP(C169,DATA!$A$11:$L$71,12,FALSE),"")</f>
        <v xml:space="preserve"> JiaXing TaiGuo Trading co.,ltd</v>
      </c>
      <c r="V169" s="514" t="s">
        <v>1083</v>
      </c>
      <c r="W169" s="514" t="s">
        <v>686</v>
      </c>
      <c r="X169" s="514" t="s">
        <v>192</v>
      </c>
      <c r="Y169" s="514" t="s">
        <v>864</v>
      </c>
      <c r="Z169" s="515">
        <v>45799</v>
      </c>
      <c r="AA169" s="515" t="s">
        <v>1592</v>
      </c>
      <c r="AB169" s="515">
        <v>45803</v>
      </c>
      <c r="AC169" s="515">
        <v>45807</v>
      </c>
      <c r="AD169" s="514" t="s">
        <v>24</v>
      </c>
      <c r="AE169" s="514" t="s">
        <v>1579</v>
      </c>
      <c r="AF169" s="524" t="s">
        <v>387</v>
      </c>
      <c r="AG169" s="524" t="s">
        <v>1580</v>
      </c>
      <c r="AH169" s="524" t="s">
        <v>1581</v>
      </c>
      <c r="AI169" s="524" t="s">
        <v>1582</v>
      </c>
      <c r="AJ169" s="524" t="s">
        <v>197</v>
      </c>
      <c r="AK169" s="525">
        <v>45799</v>
      </c>
      <c r="AL169" s="525">
        <v>45801</v>
      </c>
      <c r="AM169" s="525"/>
      <c r="AN169" s="526"/>
      <c r="AO169" s="526"/>
      <c r="AP169" s="526">
        <f t="shared" si="5"/>
        <v>0</v>
      </c>
      <c r="AQ169" s="527"/>
      <c r="AS169" s="528" t="s">
        <v>1686</v>
      </c>
      <c r="AT169" s="623" t="s">
        <v>1716</v>
      </c>
      <c r="AU169" s="599"/>
      <c r="AV169" s="599"/>
    </row>
    <row r="170" spans="1:48" s="446" customFormat="1" ht="18" customHeight="1">
      <c r="A170" s="427" t="s">
        <v>1363</v>
      </c>
      <c r="B170" s="428">
        <v>45799</v>
      </c>
      <c r="C170" s="427" t="s">
        <v>1444</v>
      </c>
      <c r="D170" s="429">
        <v>4</v>
      </c>
      <c r="E170" s="430" t="s">
        <v>1545</v>
      </c>
      <c r="F170" s="427" t="s">
        <v>1546</v>
      </c>
      <c r="G170" s="429" t="s">
        <v>1587</v>
      </c>
      <c r="H170" s="427" t="str">
        <f>IFERROR(VLOOKUP(C170,DATA!$A$11:$L$64,3,FALSE),"")</f>
        <v>FRESH MANGOSTEEN</v>
      </c>
      <c r="I170" s="431" t="s">
        <v>1583</v>
      </c>
      <c r="J170" s="432" t="s">
        <v>1587</v>
      </c>
      <c r="K170" s="432" t="s">
        <v>1588</v>
      </c>
      <c r="L170" s="433" t="s">
        <v>1363</v>
      </c>
      <c r="M170" s="513">
        <v>2.5</v>
      </c>
      <c r="N170" s="359">
        <v>2.2000000000000002</v>
      </c>
      <c r="O170" s="435">
        <f>IFERROR(VLOOKUP(C170,DATA!$A$11:$L$71,6,FALSE),"")</f>
        <v>8.5</v>
      </c>
      <c r="P170" s="435">
        <f>IFERROR(VLOOKUP(C170,DATA!$A$11:$L$71,7,FALSE),"")</f>
        <v>7</v>
      </c>
      <c r="Q170" s="448">
        <v>2550</v>
      </c>
      <c r="R170" s="436" t="str">
        <f>IFERROR(VLOOKUP(C170,DATA!$A$11:$L$71,9,FALSE),"")</f>
        <v>PLASTIC BASKETS</v>
      </c>
      <c r="S170" s="437">
        <f>IFERROR(VLOOKUP(C170,DATA!$A$11:$L$71,10,FALSE),"")</f>
        <v>11</v>
      </c>
      <c r="T170" s="510" t="str">
        <f>IFERROR(VLOOKUP(C170,DATA!$A$11:$L$71,11,FALSE),"")</f>
        <v>5%</v>
      </c>
      <c r="U170" s="439" t="str">
        <f>IFERROR(VLOOKUP(C170,DATA!$A$11:$L$71,12,FALSE),"")</f>
        <v>BEIJING JUNYAO INTERNATIONAL</v>
      </c>
      <c r="V170" s="427" t="s">
        <v>1083</v>
      </c>
      <c r="W170" s="427" t="s">
        <v>686</v>
      </c>
      <c r="X170" s="427" t="s">
        <v>192</v>
      </c>
      <c r="Y170" s="427" t="s">
        <v>864</v>
      </c>
      <c r="Z170" s="428">
        <v>45799</v>
      </c>
      <c r="AA170" s="440" t="s">
        <v>1592</v>
      </c>
      <c r="AB170" s="428">
        <v>45803</v>
      </c>
      <c r="AC170" s="428">
        <v>45807</v>
      </c>
      <c r="AD170" s="427" t="s">
        <v>24</v>
      </c>
      <c r="AE170" s="427" t="s">
        <v>1579</v>
      </c>
      <c r="AF170" s="441" t="s">
        <v>387</v>
      </c>
      <c r="AG170" s="441" t="s">
        <v>1505</v>
      </c>
      <c r="AH170" s="442" t="s">
        <v>1506</v>
      </c>
      <c r="AI170" s="441" t="s">
        <v>1507</v>
      </c>
      <c r="AJ170" s="441" t="s">
        <v>197</v>
      </c>
      <c r="AK170" s="443">
        <v>45799</v>
      </c>
      <c r="AL170" s="443">
        <v>45801</v>
      </c>
      <c r="AM170" s="443"/>
      <c r="AN170" s="444"/>
      <c r="AO170" s="444"/>
      <c r="AP170" s="444">
        <f t="shared" si="5"/>
        <v>0</v>
      </c>
      <c r="AQ170" s="445"/>
      <c r="AS170" s="446" t="s">
        <v>1686</v>
      </c>
      <c r="AT170" s="605">
        <v>2277788</v>
      </c>
      <c r="AU170" s="587"/>
      <c r="AV170" s="587"/>
    </row>
    <row r="171" spans="1:48" s="528" customFormat="1" ht="18" customHeight="1">
      <c r="A171" s="514" t="s">
        <v>1364</v>
      </c>
      <c r="B171" s="515">
        <v>45799</v>
      </c>
      <c r="C171" s="514" t="s">
        <v>1576</v>
      </c>
      <c r="D171" s="516">
        <v>2</v>
      </c>
      <c r="E171" s="514" t="s">
        <v>1591</v>
      </c>
      <c r="F171" s="514" t="s">
        <v>1575</v>
      </c>
      <c r="G171" s="516" t="s">
        <v>1589</v>
      </c>
      <c r="H171" s="514" t="str">
        <f>IFERROR(VLOOKUP(C171,DATA!$A$11:$L$64,3,FALSE),"")</f>
        <v>FRESH MANGOSTEEN</v>
      </c>
      <c r="I171" s="517" t="s">
        <v>1586</v>
      </c>
      <c r="J171" s="517" t="s">
        <v>1589</v>
      </c>
      <c r="K171" s="517" t="s">
        <v>1590</v>
      </c>
      <c r="L171" s="518" t="s">
        <v>1364</v>
      </c>
      <c r="M171" s="534">
        <v>2.13</v>
      </c>
      <c r="N171" s="533">
        <v>1.99</v>
      </c>
      <c r="O171" s="519">
        <f>IFERROR(VLOOKUP(C171,DATA!$A$11:$L$71,6,FALSE),"")</f>
        <v>16</v>
      </c>
      <c r="P171" s="519">
        <f>IFERROR(VLOOKUP(C171,DATA!$A$11:$L$71,7,FALSE),"")</f>
        <v>14</v>
      </c>
      <c r="Q171" s="531">
        <v>1336</v>
      </c>
      <c r="R171" s="520" t="str">
        <f>IFERROR(VLOOKUP(C171,DATA!$A$11:$L$71,9,FALSE),"")</f>
        <v>PLASTIC BASKETS</v>
      </c>
      <c r="S171" s="521">
        <f>IFERROR(VLOOKUP(C171,DATA!$A$11:$L$71,10,FALSE),"")</f>
        <v>10</v>
      </c>
      <c r="T171" s="522" t="str">
        <f>IFERROR(VLOOKUP(C171,DATA!$A$11:$L$71,11,FALSE),"")</f>
        <v>5%</v>
      </c>
      <c r="U171" s="523" t="str">
        <f>IFERROR(VLOOKUP(C171,DATA!$A$11:$L$71,12,FALSE),"")</f>
        <v xml:space="preserve"> JiaXing TaiGuo Trading co.,ltd</v>
      </c>
      <c r="V171" s="514" t="s">
        <v>1083</v>
      </c>
      <c r="W171" s="514" t="s">
        <v>686</v>
      </c>
      <c r="X171" s="514" t="s">
        <v>192</v>
      </c>
      <c r="Y171" s="514" t="s">
        <v>864</v>
      </c>
      <c r="Z171" s="515">
        <v>45799</v>
      </c>
      <c r="AA171" s="515" t="s">
        <v>1592</v>
      </c>
      <c r="AB171" s="515">
        <v>45803</v>
      </c>
      <c r="AC171" s="515">
        <v>45807</v>
      </c>
      <c r="AD171" s="514" t="s">
        <v>24</v>
      </c>
      <c r="AE171" s="514" t="s">
        <v>1579</v>
      </c>
      <c r="AF171" s="524" t="s">
        <v>201</v>
      </c>
      <c r="AG171" s="524" t="s">
        <v>326</v>
      </c>
      <c r="AH171" s="524" t="s">
        <v>327</v>
      </c>
      <c r="AI171" s="524" t="s">
        <v>1597</v>
      </c>
      <c r="AJ171" s="524" t="s">
        <v>197</v>
      </c>
      <c r="AK171" s="525">
        <v>45799</v>
      </c>
      <c r="AL171" s="525">
        <v>45801</v>
      </c>
      <c r="AM171" s="525"/>
      <c r="AN171" s="526"/>
      <c r="AO171" s="526"/>
      <c r="AP171" s="526">
        <f t="shared" si="5"/>
        <v>0</v>
      </c>
      <c r="AQ171" s="527"/>
      <c r="AS171" s="528" t="s">
        <v>1686</v>
      </c>
      <c r="AT171" s="623" t="s">
        <v>1715</v>
      </c>
      <c r="AU171" s="599"/>
      <c r="AV171" s="599"/>
    </row>
    <row r="172" spans="1:48" ht="18" customHeight="1">
      <c r="A172" s="6" t="s">
        <v>1365</v>
      </c>
      <c r="B172" s="60">
        <v>45799</v>
      </c>
      <c r="C172" s="530" t="s">
        <v>1562</v>
      </c>
      <c r="D172" s="30">
        <v>2</v>
      </c>
      <c r="E172" s="6" t="s">
        <v>1563</v>
      </c>
      <c r="F172" s="6" t="s">
        <v>1564</v>
      </c>
      <c r="G172" s="30" t="s">
        <v>1550</v>
      </c>
      <c r="H172" s="6" t="str">
        <f>IFERROR(VLOOKUP(C172,DATA!$A$11:$L$64,3,FALSE),"")</f>
        <v>FRESH MANGOSTEEN</v>
      </c>
      <c r="I172" s="7" t="s">
        <v>1542</v>
      </c>
      <c r="J172" s="7" t="s">
        <v>1550</v>
      </c>
      <c r="K172" t="s">
        <v>1599</v>
      </c>
      <c r="L172" s="62" t="s">
        <v>1365</v>
      </c>
      <c r="M172" s="191">
        <f>IFERROR(VLOOKUP(C172,DATA!$A$11:$L$71,4,FALSE),"")</f>
        <v>1.67</v>
      </c>
      <c r="N172" s="192">
        <f>IFERROR(VLOOKUP(C172,DATA!$A$11:$L$71,5,FALSE),"")</f>
        <v>1.55</v>
      </c>
      <c r="O172" s="192">
        <f>IFERROR(VLOOKUP(C172,DATA!$A$11:$L$71,6,FALSE),"")</f>
        <v>16</v>
      </c>
      <c r="P172" s="192">
        <f>IFERROR(VLOOKUP(C172,DATA!$A$11:$L$71,7,FALSE),"")</f>
        <v>14</v>
      </c>
      <c r="Q172" s="193">
        <f>IFERROR(VLOOKUP(C172,DATA!$A$11:$L$71,8,FALSE),"")</f>
        <v>1350</v>
      </c>
      <c r="R172" s="194" t="str">
        <f>IFERROR(VLOOKUP(C172,DATA!$A$11:$L$71,9,FALSE),"")</f>
        <v>PLASTIC BASKETS</v>
      </c>
      <c r="S172" s="195">
        <f>IFERROR(VLOOKUP(C172,DATA!$A$11:$L$71,10,FALSE),"")</f>
        <v>12</v>
      </c>
      <c r="T172" s="196" t="str">
        <f>IFERROR(VLOOKUP(C172,DATA!$A$11:$L$71,11,FALSE),"")</f>
        <v>5%</v>
      </c>
      <c r="U172" s="32" t="str">
        <f>IFERROR(VLOOKUP(C172,DATA!$A$11:$L$71,12,FALSE),"")</f>
        <v>Yunnan Xinjiyi Agricultural Technology CO.,Ltd.</v>
      </c>
      <c r="V172" s="6" t="s">
        <v>1083</v>
      </c>
      <c r="W172" s="6" t="s">
        <v>211</v>
      </c>
      <c r="X172" s="6" t="s">
        <v>192</v>
      </c>
      <c r="Y172" s="6" t="s">
        <v>571</v>
      </c>
      <c r="Z172" s="60">
        <v>45799</v>
      </c>
      <c r="AA172" s="318" t="s">
        <v>1593</v>
      </c>
      <c r="AB172" s="60">
        <v>45803</v>
      </c>
      <c r="AC172" s="60">
        <v>45807</v>
      </c>
      <c r="AD172" s="6" t="s">
        <v>13</v>
      </c>
      <c r="AE172" s="6" t="s">
        <v>1544</v>
      </c>
      <c r="AF172" s="65" t="s">
        <v>387</v>
      </c>
      <c r="AG172" s="65" t="s">
        <v>1594</v>
      </c>
      <c r="AH172" s="65" t="s">
        <v>1595</v>
      </c>
      <c r="AI172" s="65" t="s">
        <v>1596</v>
      </c>
      <c r="AJ172" s="65" t="s">
        <v>197</v>
      </c>
      <c r="AK172" s="66">
        <v>45799</v>
      </c>
      <c r="AL172" s="66">
        <v>45802</v>
      </c>
      <c r="AM172" s="66"/>
      <c r="AN172" s="67"/>
      <c r="AO172" s="67"/>
      <c r="AP172" s="67">
        <f t="shared" si="5"/>
        <v>0</v>
      </c>
      <c r="AQ172" s="59">
        <f>IFERROR(VLOOKUP(C172,DATA!A$54:$N66,13,0),"")</f>
        <v>26</v>
      </c>
      <c r="AR172" s="59" t="str">
        <f>IFERROR(VLOOKUP(C172,DATA!A$54:$N66,14,0),"")</f>
        <v>(24 large pallets, 2 small pallets)</v>
      </c>
      <c r="AS172" t="s">
        <v>1687</v>
      </c>
      <c r="AT172" s="622" t="s">
        <v>1714</v>
      </c>
      <c r="AV172" s="588">
        <v>45694.893148148149</v>
      </c>
    </row>
    <row r="173" spans="1:48" s="309" customFormat="1" ht="18" customHeight="1">
      <c r="A173" s="535" t="s">
        <v>1366</v>
      </c>
      <c r="B173" s="250">
        <v>45803</v>
      </c>
      <c r="C173" s="249" t="s">
        <v>1600</v>
      </c>
      <c r="D173" s="253">
        <v>1</v>
      </c>
      <c r="E173" s="535" t="s">
        <v>1605</v>
      </c>
      <c r="F173" s="249" t="s">
        <v>1606</v>
      </c>
      <c r="G173" s="253" t="s">
        <v>1602</v>
      </c>
      <c r="H173" s="249" t="str">
        <f>IFERROR(VLOOKUP(C173,DATA!$A$11:$L$64,3,FALSE),"")</f>
        <v>FRESH DURIAN</v>
      </c>
      <c r="I173" s="314" t="s">
        <v>1603</v>
      </c>
      <c r="J173" s="314" t="s">
        <v>1602</v>
      </c>
      <c r="K173" s="314" t="s">
        <v>1604</v>
      </c>
      <c r="L173" s="297" t="s">
        <v>1366</v>
      </c>
      <c r="M173" s="298">
        <f>IFERROR(VLOOKUP(C173,DATA!$A$11:$L$71,4,FALSE),"")</f>
        <v>5</v>
      </c>
      <c r="N173" s="299">
        <f>IFERROR(VLOOKUP(C173,DATA!$A$11:$L$71,5,FALSE),"")</f>
        <v>4.5999999999999996</v>
      </c>
      <c r="O173" s="299">
        <f>IFERROR(VLOOKUP(C173,DATA!$A$11:$L$71,6,FALSE),"")</f>
        <v>20</v>
      </c>
      <c r="P173" s="299">
        <f>IFERROR(VLOOKUP(C173,DATA!$A$11:$L$71,7,FALSE),"")</f>
        <v>18</v>
      </c>
      <c r="Q173" s="300">
        <f>IFERROR(VLOOKUP(C173,DATA!$A$11:$L$71,8,FALSE),"")</f>
        <v>960</v>
      </c>
      <c r="R173" s="301" t="str">
        <f>IFERROR(VLOOKUP(C173,DATA!$A$11:$L$71,9,FALSE),"")</f>
        <v>CARTONS</v>
      </c>
      <c r="S173" s="302">
        <f>IFERROR(VLOOKUP(C173,DATA!$A$11:$L$71,10,FALSE),"")</f>
        <v>12</v>
      </c>
      <c r="T173" s="363" t="str">
        <f>IFERROR(VLOOKUP(C173,DATA!$A$11:$L$71,11,FALSE),"")</f>
        <v>35%</v>
      </c>
      <c r="U173" s="296" t="str">
        <f>IFERROR(VLOOKUP(C173,DATA!$A$11:$L$71,12,FALSE),"")</f>
        <v>SHENZHEN SAIL TRADE DEVELOPMENT CO., LTD.</v>
      </c>
      <c r="V173" s="249" t="s">
        <v>1083</v>
      </c>
      <c r="W173" s="249" t="s">
        <v>1322</v>
      </c>
      <c r="X173" s="249" t="s">
        <v>192</v>
      </c>
      <c r="Y173" s="249" t="s">
        <v>212</v>
      </c>
      <c r="Z173" s="250">
        <v>45803</v>
      </c>
      <c r="AA173" s="536" t="s">
        <v>1608</v>
      </c>
      <c r="AB173" s="304">
        <v>45812</v>
      </c>
      <c r="AC173" s="304">
        <v>45819</v>
      </c>
      <c r="AD173" s="249" t="s">
        <v>40</v>
      </c>
      <c r="AE173" s="535" t="s">
        <v>1607</v>
      </c>
      <c r="AF173" s="305" t="s">
        <v>387</v>
      </c>
      <c r="AG173" s="305" t="s">
        <v>1505</v>
      </c>
      <c r="AH173" s="305" t="s">
        <v>1506</v>
      </c>
      <c r="AI173" s="305" t="s">
        <v>1507</v>
      </c>
      <c r="AJ173" s="305" t="s">
        <v>197</v>
      </c>
      <c r="AK173" s="306">
        <v>45804</v>
      </c>
      <c r="AL173" s="306"/>
      <c r="AM173" s="306"/>
      <c r="AN173" s="307"/>
      <c r="AO173" s="307"/>
      <c r="AP173" s="307">
        <f t="shared" si="5"/>
        <v>0</v>
      </c>
      <c r="AQ173" s="308"/>
      <c r="AR173" s="308"/>
      <c r="AS173" s="544" t="s">
        <v>1669</v>
      </c>
      <c r="AT173" s="624" t="s">
        <v>1713</v>
      </c>
      <c r="AU173" s="592"/>
      <c r="AV173" s="592"/>
    </row>
    <row r="174" spans="1:48" s="379" customFormat="1" ht="18" customHeight="1">
      <c r="A174" s="368" t="s">
        <v>1367</v>
      </c>
      <c r="B174" s="369">
        <v>45805</v>
      </c>
      <c r="C174" s="368" t="s">
        <v>1609</v>
      </c>
      <c r="D174" s="370">
        <v>1</v>
      </c>
      <c r="E174" s="368" t="s">
        <v>1610</v>
      </c>
      <c r="F174" s="368" t="s">
        <v>1611</v>
      </c>
      <c r="G174" s="370" t="s">
        <v>1617</v>
      </c>
      <c r="H174" s="368" t="str">
        <f>IFERROR(VLOOKUP(C174,DATA!$A$11:$L$64,3,FALSE),"")</f>
        <v>FRESH DURIAN</v>
      </c>
      <c r="I174" s="380" t="s">
        <v>1612</v>
      </c>
      <c r="J174" s="380" t="s">
        <v>1617</v>
      </c>
      <c r="K174" s="380" t="s">
        <v>1618</v>
      </c>
      <c r="L174" s="381" t="s">
        <v>1367</v>
      </c>
      <c r="M174" s="563">
        <v>129</v>
      </c>
      <c r="N174" s="562">
        <v>3.72</v>
      </c>
      <c r="O174" s="562">
        <v>14</v>
      </c>
      <c r="P174" s="562">
        <v>12.5</v>
      </c>
      <c r="Q174" s="558">
        <v>71</v>
      </c>
      <c r="R174" s="374" t="str">
        <f>IFERROR(VLOOKUP(C174,DATA!$A$11:$L$71,9,FALSE),"")</f>
        <v>CARTONS</v>
      </c>
      <c r="S174" s="586">
        <v>13</v>
      </c>
      <c r="T174" s="376" t="str">
        <f>IFERROR(VLOOKUP(C174,DATA!$A$11:$L$71,11,FALSE),"")</f>
        <v>30%</v>
      </c>
      <c r="U174" s="377" t="str">
        <f>IFERROR(VLOOKUP(C174,DATA!$A$11:$L$71,12,FALSE),"")</f>
        <v>HAINAN BOMING TECHNOLOGY CO., LTD</v>
      </c>
      <c r="V174" s="368" t="s">
        <v>1525</v>
      </c>
      <c r="W174" s="368" t="s">
        <v>1613</v>
      </c>
      <c r="X174" s="368" t="s">
        <v>192</v>
      </c>
      <c r="Y174" s="368" t="s">
        <v>864</v>
      </c>
      <c r="Z174" s="369">
        <v>45805</v>
      </c>
      <c r="AA174" s="386" t="s">
        <v>1616</v>
      </c>
      <c r="AB174" s="369">
        <v>45809</v>
      </c>
      <c r="AC174" s="369">
        <v>45813</v>
      </c>
      <c r="AD174" s="368" t="s">
        <v>24</v>
      </c>
      <c r="AE174" s="368" t="s">
        <v>1614</v>
      </c>
      <c r="AF174" s="383" t="s">
        <v>387</v>
      </c>
      <c r="AG174" s="383" t="s">
        <v>1339</v>
      </c>
      <c r="AH174" s="383" t="s">
        <v>1340</v>
      </c>
      <c r="AI174" s="383" t="s">
        <v>1615</v>
      </c>
      <c r="AJ174" s="383" t="s">
        <v>197</v>
      </c>
      <c r="AK174" s="384">
        <v>45806</v>
      </c>
      <c r="AL174" s="384">
        <v>45806</v>
      </c>
      <c r="AM174" s="384"/>
      <c r="AN174" s="385"/>
      <c r="AO174" s="385"/>
      <c r="AP174" s="385">
        <f t="shared" si="5"/>
        <v>0</v>
      </c>
      <c r="AQ174" s="378"/>
      <c r="AR174" s="378"/>
      <c r="AS174" s="546" t="s">
        <v>1669</v>
      </c>
      <c r="AT174" s="625" t="s">
        <v>1712</v>
      </c>
      <c r="AU174" s="594"/>
      <c r="AV174" s="594">
        <v>45694.738587962966</v>
      </c>
    </row>
    <row r="175" spans="1:48" s="446" customFormat="1" ht="18" customHeight="1">
      <c r="A175" s="427" t="s">
        <v>1368</v>
      </c>
      <c r="B175" s="428">
        <v>45806</v>
      </c>
      <c r="C175" s="427" t="s">
        <v>1444</v>
      </c>
      <c r="D175" s="429">
        <v>5</v>
      </c>
      <c r="E175" s="430" t="s">
        <v>1545</v>
      </c>
      <c r="F175" s="427" t="s">
        <v>1546</v>
      </c>
      <c r="G175" s="429" t="s">
        <v>1628</v>
      </c>
      <c r="H175" s="427" t="str">
        <f>IFERROR(VLOOKUP(C175,DATA!$A$11:$L$64,3,FALSE),"")</f>
        <v>FRESH MANGOSTEEN</v>
      </c>
      <c r="I175" s="431" t="s">
        <v>1625</v>
      </c>
      <c r="J175" s="432" t="s">
        <v>1628</v>
      </c>
      <c r="K175" s="432" t="s">
        <v>1629</v>
      </c>
      <c r="L175" s="433" t="s">
        <v>1368</v>
      </c>
      <c r="M175" s="513">
        <v>2</v>
      </c>
      <c r="N175" s="359">
        <v>1.8</v>
      </c>
      <c r="O175" s="435">
        <f>IFERROR(VLOOKUP(C175,DATA!$A$11:$L$71,6,FALSE),"")</f>
        <v>8.5</v>
      </c>
      <c r="P175" s="435">
        <f>IFERROR(VLOOKUP(C175,DATA!$A$11:$L$71,7,FALSE),"")</f>
        <v>7</v>
      </c>
      <c r="Q175" s="448">
        <v>1734</v>
      </c>
      <c r="R175" s="436" t="str">
        <f>IFERROR(VLOOKUP(C175,DATA!$A$11:$L$71,9,FALSE),"")</f>
        <v>PLASTIC BASKETS</v>
      </c>
      <c r="S175" s="538">
        <v>10</v>
      </c>
      <c r="T175" s="510" t="str">
        <f>IFERROR(VLOOKUP(C175,DATA!$A$11:$L$71,11,FALSE),"")</f>
        <v>5%</v>
      </c>
      <c r="U175" s="439" t="str">
        <f>IFERROR(VLOOKUP(C175,DATA!$A$11:$L$71,12,FALSE),"")</f>
        <v>BEIJING JUNYAO INTERNATIONAL</v>
      </c>
      <c r="V175" s="427" t="s">
        <v>1525</v>
      </c>
      <c r="W175" s="427" t="s">
        <v>686</v>
      </c>
      <c r="X175" s="427" t="s">
        <v>192</v>
      </c>
      <c r="Y175" s="427" t="s">
        <v>864</v>
      </c>
      <c r="Z175" s="428">
        <v>45806</v>
      </c>
      <c r="AA175" s="440" t="s">
        <v>1626</v>
      </c>
      <c r="AB175" s="428">
        <v>45810</v>
      </c>
      <c r="AC175" s="428">
        <v>45814</v>
      </c>
      <c r="AD175" s="427" t="s">
        <v>13</v>
      </c>
      <c r="AE175" s="427" t="s">
        <v>1624</v>
      </c>
      <c r="AF175" s="441" t="s">
        <v>387</v>
      </c>
      <c r="AG175" s="441" t="s">
        <v>1434</v>
      </c>
      <c r="AH175" s="442" t="s">
        <v>1627</v>
      </c>
      <c r="AI175" s="441" t="s">
        <v>1439</v>
      </c>
      <c r="AJ175" s="441" t="s">
        <v>197</v>
      </c>
      <c r="AK175" s="443">
        <v>45806</v>
      </c>
      <c r="AL175" s="443">
        <v>45807</v>
      </c>
      <c r="AM175" s="443"/>
      <c r="AN175" s="444"/>
      <c r="AO175" s="444"/>
      <c r="AP175" s="444">
        <f t="shared" si="5"/>
        <v>0</v>
      </c>
      <c r="AQ175" s="445" t="str">
        <f>IFERROR(VLOOKUP(C175,DATA!A$54:$N69,13,0),"")</f>
        <v/>
      </c>
      <c r="AR175" s="446" t="str">
        <f>IFERROR(VLOOKUP(C175,DATA!A$54:$N69,14,0),"")</f>
        <v/>
      </c>
      <c r="AS175" s="549" t="s">
        <v>1669</v>
      </c>
      <c r="AT175" s="605" t="s">
        <v>1711</v>
      </c>
      <c r="AU175" s="587"/>
      <c r="AV175" s="587">
        <v>45694.738761574074</v>
      </c>
    </row>
    <row r="176" spans="1:48" s="583" customFormat="1" ht="18" customHeight="1">
      <c r="A176" s="566" t="s">
        <v>1369</v>
      </c>
      <c r="B176" s="567">
        <v>45807</v>
      </c>
      <c r="C176" s="566" t="s">
        <v>1642</v>
      </c>
      <c r="D176" s="568">
        <v>1</v>
      </c>
      <c r="E176" s="566" t="s">
        <v>1630</v>
      </c>
      <c r="F176" s="566" t="s">
        <v>1631</v>
      </c>
      <c r="G176" s="648" t="s">
        <v>1738</v>
      </c>
      <c r="H176" s="566" t="str">
        <f>IFERROR(VLOOKUP(C176,DATA!$A$11:$L$64,3,FALSE),"")</f>
        <v>FRESH MANGOSTEEN</v>
      </c>
      <c r="I176" s="569" t="s">
        <v>1632</v>
      </c>
      <c r="J176" s="569" t="s">
        <v>1640</v>
      </c>
      <c r="K176" s="569" t="s">
        <v>1641</v>
      </c>
      <c r="L176" s="570" t="s">
        <v>1369</v>
      </c>
      <c r="M176" s="571">
        <f>IFERROR(VLOOKUP(C176,DATA!$A$11:$L$71,4,FALSE),"")</f>
        <v>75</v>
      </c>
      <c r="N176" s="572">
        <f>IFERROR(VLOOKUP(C176,DATA!$A$11:$L$71,5,FALSE),"")</f>
        <v>2.14</v>
      </c>
      <c r="O176" s="572">
        <f>IFERROR(VLOOKUP(C176,DATA!$A$11:$L$71,6,FALSE),"")</f>
        <v>8.3000000000000007</v>
      </c>
      <c r="P176" s="572">
        <f>IFERROR(VLOOKUP(C176,DATA!$A$11:$L$71,7,FALSE),"")</f>
        <v>7</v>
      </c>
      <c r="Q176" s="573">
        <f>IFERROR(VLOOKUP(C176,DATA!$A$11:$L$71,8,FALSE),"")</f>
        <v>2400</v>
      </c>
      <c r="R176" s="574" t="str">
        <f>IFERROR(VLOOKUP(C176,DATA!$A$11:$L$71,9,FALSE),"")</f>
        <v>PLASTIC BASKETS</v>
      </c>
      <c r="S176" s="575">
        <f>IFERROR(VLOOKUP(C176,DATA!$A$11:$L$71,10,FALSE),"")</f>
        <v>12</v>
      </c>
      <c r="T176" s="576" t="str">
        <f>IFERROR(VLOOKUP(C176,DATA!$A$11:$L$71,11,FALSE),"")</f>
        <v>5%</v>
      </c>
      <c r="U176" s="577" t="str">
        <f>IFERROR(VLOOKUP(C176,DATA!$A$11:$L$71,12,FALSE),"")</f>
        <v>GUOSHEN(JIANGSU) INTERNATIONAL TRADE CO., LTD</v>
      </c>
      <c r="V176" s="566" t="s">
        <v>1525</v>
      </c>
      <c r="W176" s="566" t="s">
        <v>884</v>
      </c>
      <c r="X176" s="566" t="s">
        <v>192</v>
      </c>
      <c r="Y176" s="566" t="s">
        <v>571</v>
      </c>
      <c r="Z176" s="567">
        <v>45807</v>
      </c>
      <c r="AA176" s="567" t="s">
        <v>1636</v>
      </c>
      <c r="AB176" s="567">
        <v>45811</v>
      </c>
      <c r="AC176" s="567">
        <v>45815</v>
      </c>
      <c r="AD176" s="566" t="s">
        <v>24</v>
      </c>
      <c r="AE176" s="566" t="s">
        <v>1637</v>
      </c>
      <c r="AF176" s="578" t="s">
        <v>387</v>
      </c>
      <c r="AG176" s="578" t="s">
        <v>1505</v>
      </c>
      <c r="AH176" s="578" t="s">
        <v>1506</v>
      </c>
      <c r="AI176" s="578" t="s">
        <v>1507</v>
      </c>
      <c r="AJ176" s="578" t="s">
        <v>197</v>
      </c>
      <c r="AK176" s="567">
        <v>45807</v>
      </c>
      <c r="AL176" s="579">
        <v>45809</v>
      </c>
      <c r="AM176" s="579"/>
      <c r="AN176" s="580"/>
      <c r="AO176" s="580"/>
      <c r="AP176" s="580">
        <f t="shared" si="5"/>
        <v>0</v>
      </c>
      <c r="AQ176" s="581"/>
      <c r="AR176" s="581"/>
      <c r="AS176" s="582" t="s">
        <v>1669</v>
      </c>
      <c r="AT176" s="626" t="s">
        <v>1710</v>
      </c>
      <c r="AU176" s="600"/>
      <c r="AV176" s="600">
        <v>45722.90766203704</v>
      </c>
    </row>
    <row r="177" spans="1:48" s="446" customFormat="1" ht="18" customHeight="1">
      <c r="A177" s="427" t="s">
        <v>1370</v>
      </c>
      <c r="B177" s="428">
        <v>45807</v>
      </c>
      <c r="C177" s="427" t="s">
        <v>1444</v>
      </c>
      <c r="D177" s="429">
        <v>6</v>
      </c>
      <c r="E177" s="430" t="s">
        <v>1545</v>
      </c>
      <c r="F177" s="427" t="s">
        <v>1546</v>
      </c>
      <c r="G177" s="429" t="s">
        <v>1653</v>
      </c>
      <c r="H177" s="427" t="str">
        <f>IFERROR(VLOOKUP(C177,DATA!$A$11:$L$64,3,FALSE),"")</f>
        <v>FRESH MANGOSTEEN</v>
      </c>
      <c r="I177" s="431" t="s">
        <v>1651</v>
      </c>
      <c r="J177" s="432" t="s">
        <v>1653</v>
      </c>
      <c r="K177" s="432" t="s">
        <v>1654</v>
      </c>
      <c r="L177" s="433" t="s">
        <v>1370</v>
      </c>
      <c r="M177" s="513">
        <v>2</v>
      </c>
      <c r="N177" s="359">
        <v>1.8</v>
      </c>
      <c r="O177" s="435">
        <f>IFERROR(VLOOKUP(C177,DATA!$A$11:$L$71,6,FALSE),"")</f>
        <v>8.5</v>
      </c>
      <c r="P177" s="435">
        <f>IFERROR(VLOOKUP(C177,DATA!$A$11:$L$71,7,FALSE),"")</f>
        <v>7</v>
      </c>
      <c r="Q177" s="448">
        <v>918</v>
      </c>
      <c r="R177" s="436" t="str">
        <f>IFERROR(VLOOKUP(C177,DATA!$A$11:$L$71,9,FALSE),"")</f>
        <v>PLASTIC BASKETS</v>
      </c>
      <c r="S177" s="538">
        <v>9</v>
      </c>
      <c r="T177" s="510" t="str">
        <f>IFERROR(VLOOKUP(C177,DATA!$A$11:$L$71,11,FALSE),"")</f>
        <v>5%</v>
      </c>
      <c r="U177" s="439" t="str">
        <f>IFERROR(VLOOKUP(C177,DATA!$A$11:$L$71,12,FALSE),"")</f>
        <v>BEIJING JUNYAO INTERNATIONAL</v>
      </c>
      <c r="V177" s="427" t="s">
        <v>1525</v>
      </c>
      <c r="W177" s="427" t="s">
        <v>478</v>
      </c>
      <c r="X177" s="427" t="s">
        <v>192</v>
      </c>
      <c r="Y177" s="427" t="s">
        <v>571</v>
      </c>
      <c r="Z177" s="428">
        <v>45807</v>
      </c>
      <c r="AA177" s="440" t="s">
        <v>1636</v>
      </c>
      <c r="AB177" s="428">
        <v>45810</v>
      </c>
      <c r="AC177" s="428">
        <v>45813</v>
      </c>
      <c r="AD177" s="427" t="s">
        <v>40</v>
      </c>
      <c r="AE177" s="427" t="s">
        <v>1652</v>
      </c>
      <c r="AF177" s="441" t="s">
        <v>387</v>
      </c>
      <c r="AG177" s="441" t="s">
        <v>1594</v>
      </c>
      <c r="AH177" s="441" t="s">
        <v>1595</v>
      </c>
      <c r="AI177" s="441" t="s">
        <v>1596</v>
      </c>
      <c r="AJ177" s="441" t="s">
        <v>197</v>
      </c>
      <c r="AK177" s="428">
        <v>45807</v>
      </c>
      <c r="AL177" s="443">
        <v>45809</v>
      </c>
      <c r="AM177" s="443"/>
      <c r="AN177" s="444"/>
      <c r="AO177" s="444"/>
      <c r="AP177" s="444">
        <f t="shared" si="5"/>
        <v>0</v>
      </c>
      <c r="AQ177" s="445" t="str">
        <f>IFERROR(VLOOKUP(C177,DATA!A$54:$N71,13,0),"")</f>
        <v/>
      </c>
      <c r="AR177" s="446" t="str">
        <f>IFERROR(VLOOKUP(C177,DATA!A$54:$N71,14,0),"")</f>
        <v/>
      </c>
      <c r="AS177" s="549" t="s">
        <v>1669</v>
      </c>
      <c r="AT177" s="605" t="s">
        <v>1709</v>
      </c>
      <c r="AU177" s="587"/>
      <c r="AV177" s="587">
        <v>45694.740011574075</v>
      </c>
    </row>
    <row r="178" spans="1:48" s="647" customFormat="1" ht="18" customHeight="1">
      <c r="A178" s="630" t="s">
        <v>1371</v>
      </c>
      <c r="B178" s="631">
        <v>45807</v>
      </c>
      <c r="C178" s="630" t="s">
        <v>1657</v>
      </c>
      <c r="D178" s="632">
        <v>1</v>
      </c>
      <c r="E178" s="630" t="s">
        <v>1634</v>
      </c>
      <c r="F178" s="630" t="s">
        <v>1635</v>
      </c>
      <c r="G178" s="632" t="s">
        <v>1655</v>
      </c>
      <c r="H178" s="630" t="str">
        <f>IFERROR(VLOOKUP(C178,DATA!$A$11:$L$64,3,FALSE),"")</f>
        <v>FRESH DURIAN</v>
      </c>
      <c r="I178" s="633" t="s">
        <v>1633</v>
      </c>
      <c r="J178" s="633" t="s">
        <v>1655</v>
      </c>
      <c r="K178" s="633" t="s">
        <v>1656</v>
      </c>
      <c r="L178" s="634" t="s">
        <v>1371</v>
      </c>
      <c r="M178" s="703">
        <v>4.2</v>
      </c>
      <c r="N178" s="702">
        <v>3.9</v>
      </c>
      <c r="O178" s="702">
        <v>20.5</v>
      </c>
      <c r="P178" s="702">
        <v>18.5</v>
      </c>
      <c r="Q178" s="654">
        <v>682</v>
      </c>
      <c r="R178" s="635" t="str">
        <f>IFERROR(VLOOKUP(C178,DATA!$A$11:$L$71,9,FALSE),"")</f>
        <v>CARTONS</v>
      </c>
      <c r="S178" s="699">
        <v>12</v>
      </c>
      <c r="T178" s="636" t="str">
        <f>IFERROR(VLOOKUP(C178,DATA!$A$11:$L$71,11,FALSE),"")</f>
        <v>30%</v>
      </c>
      <c r="U178" s="637" t="str">
        <f>IFERROR(VLOOKUP(C178,DATA!$A$11:$L$71,12,FALSE),"")</f>
        <v>BEIJING JUNYAO INTERNATIONAL</v>
      </c>
      <c r="V178" s="630" t="s">
        <v>190</v>
      </c>
      <c r="W178" s="630" t="s">
        <v>686</v>
      </c>
      <c r="X178" s="630" t="s">
        <v>192</v>
      </c>
      <c r="Y178" s="630" t="s">
        <v>864</v>
      </c>
      <c r="Z178" s="631">
        <v>45807</v>
      </c>
      <c r="AA178" s="638" t="s">
        <v>1638</v>
      </c>
      <c r="AB178" s="631">
        <v>45813</v>
      </c>
      <c r="AC178" s="631">
        <v>45817</v>
      </c>
      <c r="AD178" s="630" t="s">
        <v>24</v>
      </c>
      <c r="AE178" s="630" t="s">
        <v>1639</v>
      </c>
      <c r="AF178" s="639" t="s">
        <v>387</v>
      </c>
      <c r="AG178" s="640" t="s">
        <v>1666</v>
      </c>
      <c r="AH178" s="640" t="s">
        <v>1667</v>
      </c>
      <c r="AI178" s="639" t="s">
        <v>1668</v>
      </c>
      <c r="AJ178" s="639" t="s">
        <v>197</v>
      </c>
      <c r="AK178" s="641">
        <v>45807</v>
      </c>
      <c r="AL178" s="641"/>
      <c r="AM178" s="641"/>
      <c r="AN178" s="642"/>
      <c r="AO178" s="642"/>
      <c r="AP178" s="642">
        <f t="shared" si="5"/>
        <v>0</v>
      </c>
      <c r="AQ178" s="643"/>
      <c r="AR178" s="643"/>
      <c r="AS178" s="644" t="s">
        <v>1669</v>
      </c>
      <c r="AT178" s="645" t="s">
        <v>1708</v>
      </c>
      <c r="AU178" s="646"/>
      <c r="AV178" s="646">
        <v>45906.72252314815</v>
      </c>
    </row>
    <row r="179" spans="1:48" s="446" customFormat="1" ht="18" customHeight="1">
      <c r="A179" s="427" t="s">
        <v>1372</v>
      </c>
      <c r="B179" s="428">
        <v>45808</v>
      </c>
      <c r="C179" s="427" t="s">
        <v>1444</v>
      </c>
      <c r="D179" s="429">
        <v>7</v>
      </c>
      <c r="E179" s="430" t="s">
        <v>1545</v>
      </c>
      <c r="F179" s="427" t="s">
        <v>1546</v>
      </c>
      <c r="G179" s="429" t="s">
        <v>1661</v>
      </c>
      <c r="H179" s="427" t="str">
        <f>IFERROR(VLOOKUP(C179,DATA!$A$11:$L$64,3,FALSE),"")</f>
        <v>FRESH MANGOSTEEN</v>
      </c>
      <c r="I179" s="431" t="s">
        <v>1658</v>
      </c>
      <c r="J179" s="432" t="s">
        <v>1661</v>
      </c>
      <c r="K179" s="432" t="s">
        <v>1662</v>
      </c>
      <c r="L179" s="433" t="s">
        <v>1372</v>
      </c>
      <c r="M179" s="513">
        <v>2</v>
      </c>
      <c r="N179" s="359">
        <v>1.8</v>
      </c>
      <c r="O179" s="435">
        <v>16</v>
      </c>
      <c r="P179" s="435">
        <v>14.5</v>
      </c>
      <c r="Q179" s="448">
        <v>1350</v>
      </c>
      <c r="R179" s="436" t="str">
        <f>IFERROR(VLOOKUP(C179,DATA!$A$11:$L$71,9,FALSE),"")</f>
        <v>PLASTIC BASKETS</v>
      </c>
      <c r="S179" s="538">
        <v>10</v>
      </c>
      <c r="T179" s="510" t="str">
        <f>IFERROR(VLOOKUP(C179,DATA!$A$11:$L$71,11,FALSE),"")</f>
        <v>5%</v>
      </c>
      <c r="U179" s="439" t="str">
        <f>IFERROR(VLOOKUP(C179,DATA!$A$11:$L$71,12,FALSE),"")</f>
        <v>BEIJING JUNYAO INTERNATIONAL</v>
      </c>
      <c r="V179" s="427" t="s">
        <v>190</v>
      </c>
      <c r="W179" s="427" t="s">
        <v>686</v>
      </c>
      <c r="X179" s="427" t="s">
        <v>192</v>
      </c>
      <c r="Y179" s="427" t="s">
        <v>231</v>
      </c>
      <c r="Z179" s="428">
        <v>45808</v>
      </c>
      <c r="AA179" s="440" t="s">
        <v>1659</v>
      </c>
      <c r="AB179" s="428">
        <v>45811</v>
      </c>
      <c r="AC179" s="428">
        <v>45815</v>
      </c>
      <c r="AD179" s="427" t="s">
        <v>24</v>
      </c>
      <c r="AE179" s="427" t="s">
        <v>1660</v>
      </c>
      <c r="AF179" s="441" t="s">
        <v>387</v>
      </c>
      <c r="AG179" s="441" t="s">
        <v>1663</v>
      </c>
      <c r="AH179" s="441" t="s">
        <v>1664</v>
      </c>
      <c r="AI179" s="441" t="s">
        <v>1665</v>
      </c>
      <c r="AJ179" s="441" t="s">
        <v>197</v>
      </c>
      <c r="AK179" s="428">
        <v>45808</v>
      </c>
      <c r="AL179" s="443">
        <v>45809</v>
      </c>
      <c r="AM179" s="443"/>
      <c r="AN179" s="444"/>
      <c r="AO179" s="444"/>
      <c r="AP179" s="444">
        <f t="shared" si="5"/>
        <v>0</v>
      </c>
      <c r="AQ179" s="445" t="str">
        <f>IFERROR(VLOOKUP(C179,DATA!A$54:$N73,13,0),"")</f>
        <v/>
      </c>
      <c r="AR179" s="446" t="str">
        <f>IFERROR(VLOOKUP(C179,DATA!A$54:$N73,14,0),"")</f>
        <v/>
      </c>
      <c r="AS179" s="551" t="s">
        <v>1669</v>
      </c>
      <c r="AT179" s="605" t="s">
        <v>1703</v>
      </c>
      <c r="AU179" s="587"/>
      <c r="AV179" s="587">
        <v>45694.740069444444</v>
      </c>
    </row>
    <row r="180" spans="1:48" s="583" customFormat="1" ht="18" customHeight="1">
      <c r="A180" s="566" t="s">
        <v>1373</v>
      </c>
      <c r="B180" s="567">
        <v>45808</v>
      </c>
      <c r="C180" s="566" t="s">
        <v>1642</v>
      </c>
      <c r="D180" s="568">
        <v>2</v>
      </c>
      <c r="E180" s="566" t="s">
        <v>1630</v>
      </c>
      <c r="F180" s="566" t="s">
        <v>1631</v>
      </c>
      <c r="G180" s="568" t="s">
        <v>1738</v>
      </c>
      <c r="H180" s="566" t="str">
        <f>IFERROR(VLOOKUP(C180,DATA!$A$11:$L$64,3,FALSE),"")</f>
        <v>FRESH MANGOSTEEN</v>
      </c>
      <c r="I180" s="569" t="s">
        <v>1688</v>
      </c>
      <c r="J180" s="569" t="s">
        <v>1696</v>
      </c>
      <c r="K180" s="569" t="s">
        <v>1697</v>
      </c>
      <c r="L180" s="570" t="s">
        <v>1373</v>
      </c>
      <c r="M180" s="571">
        <f>IFERROR(VLOOKUP(C180,DATA!$A$11:$L$71,4,FALSE),"")</f>
        <v>75</v>
      </c>
      <c r="N180" s="572">
        <f>IFERROR(VLOOKUP(C180,DATA!$A$11:$L$71,5,FALSE),"")</f>
        <v>2.14</v>
      </c>
      <c r="O180" s="572">
        <v>8.3000000000000007</v>
      </c>
      <c r="P180" s="572">
        <f>IFERROR(VLOOKUP(C180,DATA!$A$11:$L$71,7,FALSE),"")</f>
        <v>7</v>
      </c>
      <c r="Q180" s="573">
        <f>IFERROR(VLOOKUP(C180,DATA!$A$11:$L$71,8,FALSE),"")</f>
        <v>2400</v>
      </c>
      <c r="R180" s="574" t="str">
        <f>IFERROR(VLOOKUP(C180,DATA!$A$11:$L$71,9,FALSE),"")</f>
        <v>PLASTIC BASKETS</v>
      </c>
      <c r="S180" s="575">
        <f>IFERROR(VLOOKUP(C180,DATA!$A$11:$L$71,10,FALSE),"")</f>
        <v>12</v>
      </c>
      <c r="T180" s="576" t="str">
        <f>IFERROR(VLOOKUP(C180,DATA!$A$11:$L$71,11,FALSE),"")</f>
        <v>5%</v>
      </c>
      <c r="U180" s="577" t="str">
        <f>IFERROR(VLOOKUP(C180,DATA!$A$11:$L$71,12,FALSE),"")</f>
        <v>GUOSHEN(JIANGSU) INTERNATIONAL TRADE CO., LTD</v>
      </c>
      <c r="V180" s="566" t="s">
        <v>190</v>
      </c>
      <c r="W180" s="566" t="s">
        <v>875</v>
      </c>
      <c r="X180" s="566" t="s">
        <v>192</v>
      </c>
      <c r="Y180" s="566" t="s">
        <v>912</v>
      </c>
      <c r="Z180" s="567">
        <v>45808</v>
      </c>
      <c r="AA180" s="584" t="s">
        <v>1689</v>
      </c>
      <c r="AB180" s="567">
        <v>45813</v>
      </c>
      <c r="AC180" s="567">
        <v>45818</v>
      </c>
      <c r="AD180" s="566" t="s">
        <v>24</v>
      </c>
      <c r="AE180" s="566" t="s">
        <v>1690</v>
      </c>
      <c r="AF180" s="578" t="s">
        <v>387</v>
      </c>
      <c r="AG180" s="578" t="s">
        <v>1698</v>
      </c>
      <c r="AH180" s="578" t="s">
        <v>1699</v>
      </c>
      <c r="AI180" s="578" t="s">
        <v>1700</v>
      </c>
      <c r="AJ180" s="578" t="s">
        <v>197</v>
      </c>
      <c r="AK180" s="567">
        <v>45808</v>
      </c>
      <c r="AL180" s="579">
        <v>45812</v>
      </c>
      <c r="AM180" s="579"/>
      <c r="AN180" s="580"/>
      <c r="AO180" s="580"/>
      <c r="AP180" s="580">
        <f t="shared" si="5"/>
        <v>0</v>
      </c>
      <c r="AQ180" s="581"/>
      <c r="AR180" s="581"/>
      <c r="AS180" s="582" t="s">
        <v>1669</v>
      </c>
      <c r="AT180" s="626" t="s">
        <v>1707</v>
      </c>
      <c r="AU180" s="601"/>
      <c r="AV180" s="600">
        <v>45753.836701388886</v>
      </c>
    </row>
    <row r="181" spans="1:48" s="446" customFormat="1" ht="18" customHeight="1">
      <c r="A181" s="427" t="s">
        <v>1374</v>
      </c>
      <c r="B181" s="428">
        <v>45810</v>
      </c>
      <c r="C181" s="427" t="s">
        <v>1444</v>
      </c>
      <c r="D181" s="429">
        <v>8</v>
      </c>
      <c r="E181" s="430" t="s">
        <v>1545</v>
      </c>
      <c r="F181" s="427" t="s">
        <v>1546</v>
      </c>
      <c r="G181" s="429" t="s">
        <v>1729</v>
      </c>
      <c r="H181" s="427" t="str">
        <f>IFERROR(VLOOKUP(C181,DATA!$A$11:$L$64,3,FALSE),"")</f>
        <v>FRESH MANGOSTEEN</v>
      </c>
      <c r="I181" s="431" t="s">
        <v>1722</v>
      </c>
      <c r="J181" s="432" t="s">
        <v>1729</v>
      </c>
      <c r="K181" s="659" t="s">
        <v>1861</v>
      </c>
      <c r="L181" s="433" t="s">
        <v>1374</v>
      </c>
      <c r="M181" s="513">
        <v>2</v>
      </c>
      <c r="N181" s="359">
        <v>1.8</v>
      </c>
      <c r="O181" s="435">
        <f>IFERROR(VLOOKUP(C181,DATA!$A$11:$L$71,6,FALSE),"")</f>
        <v>8.5</v>
      </c>
      <c r="P181" s="435">
        <f>IFERROR(VLOOKUP(C181,DATA!$A$11:$L$71,7,FALSE),"")</f>
        <v>7</v>
      </c>
      <c r="Q181" s="448">
        <v>1428</v>
      </c>
      <c r="R181" s="436" t="str">
        <f>IFERROR(VLOOKUP(C181,DATA!$A$11:$L$71,9,FALSE),"")</f>
        <v>PLASTIC BASKETS</v>
      </c>
      <c r="S181" s="538">
        <v>10</v>
      </c>
      <c r="T181" s="510" t="str">
        <f>IFERROR(VLOOKUP(C181,DATA!$A$11:$L$71,11,FALSE),"")</f>
        <v>5%</v>
      </c>
      <c r="U181" s="439" t="str">
        <f>IFERROR(VLOOKUP(C181,DATA!$A$11:$L$71,12,FALSE),"")</f>
        <v>BEIJING JUNYAO INTERNATIONAL</v>
      </c>
      <c r="V181" s="427" t="s">
        <v>1525</v>
      </c>
      <c r="W181" s="427" t="s">
        <v>1408</v>
      </c>
      <c r="X181" s="427" t="s">
        <v>192</v>
      </c>
      <c r="Y181" s="427" t="s">
        <v>1233</v>
      </c>
      <c r="Z181" s="428">
        <v>45810</v>
      </c>
      <c r="AA181" s="440" t="s">
        <v>1730</v>
      </c>
      <c r="AB181" s="428">
        <v>45814</v>
      </c>
      <c r="AC181" s="428">
        <v>45818</v>
      </c>
      <c r="AD181" s="427" t="s">
        <v>24</v>
      </c>
      <c r="AE181" s="427" t="s">
        <v>1723</v>
      </c>
      <c r="AF181" s="441" t="s">
        <v>387</v>
      </c>
      <c r="AG181" s="441" t="s">
        <v>1505</v>
      </c>
      <c r="AH181" s="441" t="s">
        <v>1506</v>
      </c>
      <c r="AI181" s="441" t="s">
        <v>1507</v>
      </c>
      <c r="AJ181" s="441" t="s">
        <v>197</v>
      </c>
      <c r="AK181" s="428">
        <v>45810</v>
      </c>
      <c r="AL181" s="443">
        <v>45812</v>
      </c>
      <c r="AM181" s="443"/>
      <c r="AN181" s="444"/>
      <c r="AO181" s="444"/>
      <c r="AP181" s="444">
        <f t="shared" si="5"/>
        <v>0</v>
      </c>
      <c r="AQ181" s="445" t="str">
        <f>IFERROR(VLOOKUP(C181,DATA!A$54:$N75,13,0),"")</f>
        <v/>
      </c>
      <c r="AR181" s="446" t="str">
        <f>IFERROR(VLOOKUP(C181,DATA!A$54:$N75,14,0),"")</f>
        <v/>
      </c>
      <c r="AS181" s="551" t="s">
        <v>1669</v>
      </c>
      <c r="AT181" s="627" t="s">
        <v>1731</v>
      </c>
      <c r="AU181" s="628">
        <f ca="1">IF(E181&lt;&gt;"",IF(AU181="",NOW(),AU181),"")</f>
        <v>45810.298056712963</v>
      </c>
      <c r="AV181" s="587">
        <v>45783.667384259257</v>
      </c>
    </row>
    <row r="182" spans="1:48" ht="18" customHeight="1">
      <c r="A182" s="6" t="s">
        <v>1375</v>
      </c>
      <c r="B182" s="60">
        <v>45810</v>
      </c>
      <c r="C182" s="530" t="s">
        <v>1562</v>
      </c>
      <c r="D182" s="30">
        <v>3</v>
      </c>
      <c r="E182" s="6" t="s">
        <v>1563</v>
      </c>
      <c r="F182" s="6" t="s">
        <v>1564</v>
      </c>
      <c r="G182" s="30" t="s">
        <v>1734</v>
      </c>
      <c r="H182" s="6" t="str">
        <f>IFERROR(VLOOKUP(C182,DATA!$A$11:$L$64,3,FALSE),"")</f>
        <v>FRESH MANGOSTEEN</v>
      </c>
      <c r="I182" s="7" t="s">
        <v>1733</v>
      </c>
      <c r="J182" s="7" t="s">
        <v>1734</v>
      </c>
      <c r="K182" t="s">
        <v>1735</v>
      </c>
      <c r="L182" s="62" t="s">
        <v>1375</v>
      </c>
      <c r="M182" s="191">
        <f>IFERROR(VLOOKUP(C182,DATA!$A$11:$L$71,4,FALSE),"")</f>
        <v>1.67</v>
      </c>
      <c r="N182" s="192">
        <f>IFERROR(VLOOKUP(C182,DATA!$A$11:$L$71,5,FALSE),"")</f>
        <v>1.55</v>
      </c>
      <c r="O182" s="359">
        <v>16.5</v>
      </c>
      <c r="P182" s="359">
        <v>14.5</v>
      </c>
      <c r="Q182" s="193">
        <f>IFERROR(VLOOKUP(C182,DATA!$A$11:$L$71,8,FALSE),"")</f>
        <v>1350</v>
      </c>
      <c r="R182" s="194" t="str">
        <f>IFERROR(VLOOKUP(C182,DATA!$A$11:$L$71,9,FALSE),"")</f>
        <v>PLASTIC BASKETS</v>
      </c>
      <c r="S182" s="195">
        <f>IFERROR(VLOOKUP(C182,DATA!$A$11:$L$71,10,FALSE),"")</f>
        <v>12</v>
      </c>
      <c r="T182" s="196" t="str">
        <f>IFERROR(VLOOKUP(C182,DATA!$A$11:$L$71,11,FALSE),"")</f>
        <v>5%</v>
      </c>
      <c r="U182" s="32" t="str">
        <f>IFERROR(VLOOKUP(C182,DATA!$A$11:$L$71,12,FALSE),"")</f>
        <v>Yunnan Xinjiyi Agricultural Technology CO.,Ltd.</v>
      </c>
      <c r="V182" s="6" t="s">
        <v>1525</v>
      </c>
      <c r="W182" s="6" t="s">
        <v>1458</v>
      </c>
      <c r="X182" s="6" t="s">
        <v>192</v>
      </c>
      <c r="Y182" s="6" t="s">
        <v>912</v>
      </c>
      <c r="Z182" s="60">
        <v>45810</v>
      </c>
      <c r="AA182" s="318" t="s">
        <v>1743</v>
      </c>
      <c r="AB182" s="60">
        <v>45813</v>
      </c>
      <c r="AC182" s="60">
        <v>45818</v>
      </c>
      <c r="AD182" s="274" t="s">
        <v>13</v>
      </c>
      <c r="AE182" s="6" t="s">
        <v>1690</v>
      </c>
      <c r="AF182" s="65" t="s">
        <v>387</v>
      </c>
      <c r="AG182" s="65" t="s">
        <v>1736</v>
      </c>
      <c r="AH182" s="65" t="s">
        <v>1664</v>
      </c>
      <c r="AI182" s="65" t="s">
        <v>1665</v>
      </c>
      <c r="AJ182" s="65" t="s">
        <v>197</v>
      </c>
      <c r="AK182" s="66">
        <v>45811</v>
      </c>
      <c r="AL182" s="66">
        <v>45812</v>
      </c>
      <c r="AM182" s="66"/>
      <c r="AN182" s="67"/>
      <c r="AO182" s="67"/>
      <c r="AP182" s="67">
        <f t="shared" si="5"/>
        <v>0</v>
      </c>
      <c r="AQ182" s="59">
        <f>IFERROR(VLOOKUP(C182,DATA!A$54:$N76,13,0),"")</f>
        <v>26</v>
      </c>
      <c r="AR182" s="59" t="str">
        <f>IFERROR(VLOOKUP(C182,DATA!A$54:$N76,14,0),"")</f>
        <v>(24 large pallets, 2 small pallets)</v>
      </c>
      <c r="AS182" t="s">
        <v>1687</v>
      </c>
      <c r="AT182" s="656" t="s">
        <v>1737</v>
      </c>
      <c r="AU182" s="588">
        <f ca="1">IF(E182&lt;&gt;"",IF(AU182="",NOW(),AU182),"")</f>
        <v>45810.734450925927</v>
      </c>
      <c r="AV182" s="588">
        <v>45753.838703703703</v>
      </c>
    </row>
    <row r="183" spans="1:48" s="446" customFormat="1" ht="18" customHeight="1">
      <c r="A183" s="427" t="s">
        <v>1376</v>
      </c>
      <c r="B183" s="428">
        <v>45812</v>
      </c>
      <c r="C183" s="427" t="s">
        <v>1444</v>
      </c>
      <c r="D183" s="429">
        <v>9</v>
      </c>
      <c r="E183" s="430" t="s">
        <v>1545</v>
      </c>
      <c r="F183" s="427" t="s">
        <v>1546</v>
      </c>
      <c r="G183" s="429" t="s">
        <v>1739</v>
      </c>
      <c r="H183" s="427" t="str">
        <f>IFERROR(VLOOKUP(C183,DATA!$A$11:$L$64,3,FALSE),"")</f>
        <v>FRESH MANGOSTEEN</v>
      </c>
      <c r="I183" s="431" t="s">
        <v>1740</v>
      </c>
      <c r="J183" s="432" t="s">
        <v>1739</v>
      </c>
      <c r="K183" s="432" t="s">
        <v>1741</v>
      </c>
      <c r="L183" s="433" t="s">
        <v>1376</v>
      </c>
      <c r="M183" s="513">
        <v>2</v>
      </c>
      <c r="N183" s="359">
        <v>1.8</v>
      </c>
      <c r="O183" s="435">
        <f>IFERROR(VLOOKUP(C183,DATA!$A$11:$L$71,6,FALSE),"")</f>
        <v>8.5</v>
      </c>
      <c r="P183" s="435">
        <f>IFERROR(VLOOKUP(C183,DATA!$A$11:$L$71,7,FALSE),"")</f>
        <v>7</v>
      </c>
      <c r="Q183" s="448">
        <v>1428</v>
      </c>
      <c r="R183" s="436" t="str">
        <f>IFERROR(VLOOKUP(C183,DATA!$A$11:$L$71,9,FALSE),"")</f>
        <v>PLASTIC BASKETS</v>
      </c>
      <c r="S183" s="538">
        <v>10</v>
      </c>
      <c r="T183" s="510" t="str">
        <f>IFERROR(VLOOKUP(C183,DATA!$A$11:$L$71,11,FALSE),"")</f>
        <v>5%</v>
      </c>
      <c r="U183" s="439" t="str">
        <f>IFERROR(VLOOKUP(C183,DATA!$A$11:$L$71,12,FALSE),"")</f>
        <v>BEIJING JUNYAO INTERNATIONAL</v>
      </c>
      <c r="V183" s="427" t="s">
        <v>1525</v>
      </c>
      <c r="W183" s="427" t="s">
        <v>1744</v>
      </c>
      <c r="X183" s="427" t="s">
        <v>192</v>
      </c>
      <c r="Y183" s="427" t="s">
        <v>864</v>
      </c>
      <c r="Z183" s="428">
        <v>45812</v>
      </c>
      <c r="AA183" s="440" t="s">
        <v>1745</v>
      </c>
      <c r="AB183" s="428">
        <v>45817</v>
      </c>
      <c r="AC183" s="428">
        <v>45821</v>
      </c>
      <c r="AD183" s="427" t="s">
        <v>24</v>
      </c>
      <c r="AE183" s="427" t="s">
        <v>1639</v>
      </c>
      <c r="AF183" s="441" t="s">
        <v>387</v>
      </c>
      <c r="AG183" s="441" t="s">
        <v>1594</v>
      </c>
      <c r="AH183" s="441" t="s">
        <v>1595</v>
      </c>
      <c r="AI183" s="441" t="s">
        <v>1742</v>
      </c>
      <c r="AJ183" s="441" t="s">
        <v>197</v>
      </c>
      <c r="AK183" s="428">
        <v>45812</v>
      </c>
      <c r="AL183" s="443"/>
      <c r="AM183" s="443"/>
      <c r="AN183" s="444"/>
      <c r="AO183" s="444"/>
      <c r="AP183" s="444">
        <f t="shared" si="5"/>
        <v>0</v>
      </c>
      <c r="AQ183" s="445" t="str">
        <f>IFERROR(VLOOKUP(C183,DATA!A$54:$N77,13,0),"")</f>
        <v/>
      </c>
      <c r="AR183" s="446" t="str">
        <f>IFERROR(VLOOKUP(C183,DATA!A$54:$N77,14,0),"")</f>
        <v/>
      </c>
      <c r="AS183" s="551" t="s">
        <v>1669</v>
      </c>
      <c r="AT183" s="656">
        <v>2302531</v>
      </c>
      <c r="AU183" s="587">
        <f t="shared" ref="AU183:AU204" ca="1" si="12">IF(E183&lt;&gt;"",IF(AU183="",NOW(),AU183),"")</f>
        <v>45812.678289004631</v>
      </c>
      <c r="AV183" s="587">
        <v>45814.621516203704</v>
      </c>
    </row>
    <row r="184" spans="1:48" ht="18" customHeight="1">
      <c r="A184" s="6" t="s">
        <v>1377</v>
      </c>
      <c r="B184" s="60">
        <v>45812</v>
      </c>
      <c r="C184" s="530" t="s">
        <v>1562</v>
      </c>
      <c r="D184" s="30">
        <v>4</v>
      </c>
      <c r="E184" s="6" t="s">
        <v>1563</v>
      </c>
      <c r="F184" s="6" t="s">
        <v>1564</v>
      </c>
      <c r="G184" s="30" t="s">
        <v>1747</v>
      </c>
      <c r="H184" s="6" t="str">
        <f>IFERROR(VLOOKUP(C184,DATA!$A$11:$L$64,3,FALSE),"")</f>
        <v>FRESH MANGOSTEEN</v>
      </c>
      <c r="I184" s="7" t="s">
        <v>1746</v>
      </c>
      <c r="J184" s="7" t="s">
        <v>1747</v>
      </c>
      <c r="K184" s="7" t="s">
        <v>1748</v>
      </c>
      <c r="L184" s="62" t="s">
        <v>1377</v>
      </c>
      <c r="M184" s="191">
        <f>IFERROR(VLOOKUP(C184,DATA!$A$11:$L$71,4,FALSE),"")</f>
        <v>1.67</v>
      </c>
      <c r="N184" s="192">
        <f>IFERROR(VLOOKUP(C184,DATA!$A$11:$L$71,5,FALSE),"")</f>
        <v>1.55</v>
      </c>
      <c r="O184" s="192">
        <v>16.5</v>
      </c>
      <c r="P184" s="192">
        <v>14.5</v>
      </c>
      <c r="Q184" s="193">
        <f>IFERROR(VLOOKUP(C184,DATA!$A$11:$L$71,8,FALSE),"")</f>
        <v>1350</v>
      </c>
      <c r="R184" s="194" t="str">
        <f>IFERROR(VLOOKUP(C184,DATA!$A$11:$L$71,9,FALSE),"")</f>
        <v>PLASTIC BASKETS</v>
      </c>
      <c r="S184" s="506">
        <v>11</v>
      </c>
      <c r="T184" s="196" t="str">
        <f>IFERROR(VLOOKUP(C184,DATA!$A$11:$L$71,11,FALSE),"")</f>
        <v>5%</v>
      </c>
      <c r="U184" s="32" t="str">
        <f>IFERROR(VLOOKUP(C184,DATA!$A$11:$L$71,12,FALSE),"")</f>
        <v>Yunnan Xinjiyi Agricultural Technology CO.,Ltd.</v>
      </c>
      <c r="V184" s="6" t="s">
        <v>1525</v>
      </c>
      <c r="W184" s="6" t="s">
        <v>1744</v>
      </c>
      <c r="X184" s="6" t="s">
        <v>192</v>
      </c>
      <c r="Y184" s="6" t="s">
        <v>864</v>
      </c>
      <c r="Z184" s="60">
        <v>45812</v>
      </c>
      <c r="AA184" s="318" t="s">
        <v>1745</v>
      </c>
      <c r="AB184" s="60">
        <v>45817</v>
      </c>
      <c r="AC184" s="60">
        <v>45821</v>
      </c>
      <c r="AD184" s="6" t="s">
        <v>24</v>
      </c>
      <c r="AE184" s="6" t="s">
        <v>1639</v>
      </c>
      <c r="AF184" s="65" t="s">
        <v>387</v>
      </c>
      <c r="AG184" s="65" t="s">
        <v>1749</v>
      </c>
      <c r="AH184" s="65" t="s">
        <v>1750</v>
      </c>
      <c r="AI184" s="65" t="s">
        <v>1751</v>
      </c>
      <c r="AJ184" s="65" t="s">
        <v>197</v>
      </c>
      <c r="AK184" s="66">
        <v>45812</v>
      </c>
      <c r="AL184" s="66"/>
      <c r="AM184" s="66"/>
      <c r="AN184" s="67"/>
      <c r="AO184" s="67"/>
      <c r="AP184" s="67">
        <f t="shared" si="5"/>
        <v>0</v>
      </c>
      <c r="AQ184" s="59">
        <f>IFERROR(VLOOKUP(C184,DATA!A$54:$N78,13,0),"")</f>
        <v>26</v>
      </c>
      <c r="AR184" s="59" t="str">
        <f>IFERROR(VLOOKUP(C184,DATA!A$54:$N78,14,0),"")</f>
        <v>(24 large pallets, 2 small pallets)</v>
      </c>
      <c r="AS184" s="541" t="s">
        <v>1687</v>
      </c>
      <c r="AT184" s="656">
        <v>2302845</v>
      </c>
      <c r="AU184" s="602">
        <f t="shared" ca="1" si="12"/>
        <v>45812.751190162038</v>
      </c>
      <c r="AV184" s="588">
        <v>45814.4687962963</v>
      </c>
    </row>
    <row r="185" spans="1:48" s="583" customFormat="1" ht="18" customHeight="1">
      <c r="A185" s="566" t="s">
        <v>1378</v>
      </c>
      <c r="B185" s="567">
        <v>45812</v>
      </c>
      <c r="C185" s="566" t="s">
        <v>1642</v>
      </c>
      <c r="D185" s="568">
        <v>3</v>
      </c>
      <c r="E185" s="566" t="s">
        <v>1630</v>
      </c>
      <c r="F185" s="566" t="s">
        <v>1631</v>
      </c>
      <c r="G185" s="681" t="s">
        <v>1874</v>
      </c>
      <c r="H185" s="566" t="str">
        <f>IFERROR(VLOOKUP(C185,DATA!$A$11:$L$64,3,FALSE),"")</f>
        <v>FRESH MANGOSTEEN</v>
      </c>
      <c r="I185" s="569" t="s">
        <v>1849</v>
      </c>
      <c r="J185" s="569" t="s">
        <v>1847</v>
      </c>
      <c r="K185" s="569" t="s">
        <v>1848</v>
      </c>
      <c r="L185" s="570" t="s">
        <v>1378</v>
      </c>
      <c r="M185" s="680">
        <v>70</v>
      </c>
      <c r="N185" s="572">
        <f>IFERROR(VLOOKUP(C185,DATA!$A$11:$L$71,5,FALSE),"")</f>
        <v>2.14</v>
      </c>
      <c r="O185" s="572">
        <f>IFERROR(VLOOKUP(C185,DATA!$A$11:$L$71,6,FALSE),"")</f>
        <v>8.3000000000000007</v>
      </c>
      <c r="P185" s="572">
        <f>IFERROR(VLOOKUP(C185,DATA!$A$11:$L$71,7,FALSE),"")</f>
        <v>7</v>
      </c>
      <c r="Q185" s="573">
        <f>IFERROR(VLOOKUP(C185,DATA!$A$11:$L$71,8,FALSE),"")</f>
        <v>2400</v>
      </c>
      <c r="R185" s="574" t="str">
        <f>IFERROR(VLOOKUP(C185,DATA!$A$11:$L$71,9,FALSE),"")</f>
        <v>PLASTIC BASKETS</v>
      </c>
      <c r="S185" s="575">
        <f>IFERROR(VLOOKUP(C185,DATA!$A$11:$L$71,10,FALSE),"")</f>
        <v>12</v>
      </c>
      <c r="T185" s="576" t="str">
        <f>IFERROR(VLOOKUP(C185,DATA!$A$11:$L$71,11,FALSE),"")</f>
        <v>5%</v>
      </c>
      <c r="U185" s="682" t="s">
        <v>1869</v>
      </c>
      <c r="V185" s="566" t="s">
        <v>190</v>
      </c>
      <c r="W185" s="566" t="s">
        <v>909</v>
      </c>
      <c r="X185" s="566" t="s">
        <v>192</v>
      </c>
      <c r="Y185" s="658" t="s">
        <v>212</v>
      </c>
      <c r="Z185" s="567">
        <v>45812</v>
      </c>
      <c r="AA185" s="584" t="s">
        <v>1850</v>
      </c>
      <c r="AB185" s="567">
        <v>45816</v>
      </c>
      <c r="AC185" s="567">
        <v>45820</v>
      </c>
      <c r="AD185" s="566" t="s">
        <v>24</v>
      </c>
      <c r="AE185" s="566" t="s">
        <v>1868</v>
      </c>
      <c r="AF185" s="578" t="s">
        <v>387</v>
      </c>
      <c r="AG185" s="578" t="s">
        <v>1434</v>
      </c>
      <c r="AH185" s="655" t="s">
        <v>1627</v>
      </c>
      <c r="AI185" s="578" t="s">
        <v>1439</v>
      </c>
      <c r="AJ185" s="578" t="s">
        <v>197</v>
      </c>
      <c r="AK185" s="567">
        <v>45812</v>
      </c>
      <c r="AL185" s="579"/>
      <c r="AM185" s="579"/>
      <c r="AN185" s="580"/>
      <c r="AO185" s="580"/>
      <c r="AP185" s="580">
        <f t="shared" si="5"/>
        <v>0</v>
      </c>
      <c r="AQ185" s="581"/>
      <c r="AR185" s="581"/>
      <c r="AS185" s="582" t="s">
        <v>1669</v>
      </c>
      <c r="AT185" s="626">
        <v>2302913</v>
      </c>
      <c r="AU185" s="601">
        <f t="shared" ca="1" si="12"/>
        <v>45812.834080439818</v>
      </c>
      <c r="AV185" s="600">
        <v>45814.837152777778</v>
      </c>
    </row>
    <row r="186" spans="1:48" s="446" customFormat="1" ht="18" customHeight="1">
      <c r="A186" s="427" t="s">
        <v>1379</v>
      </c>
      <c r="B186" s="428">
        <v>45813</v>
      </c>
      <c r="C186" s="427" t="s">
        <v>1444</v>
      </c>
      <c r="D186" s="429">
        <v>10</v>
      </c>
      <c r="E186" s="430" t="s">
        <v>1545</v>
      </c>
      <c r="F186" s="427" t="s">
        <v>1546</v>
      </c>
      <c r="G186" s="429" t="s">
        <v>1862</v>
      </c>
      <c r="H186" s="427" t="str">
        <f>IFERROR(VLOOKUP(C186,DATA!$A$11:$L$64,3,FALSE),"")</f>
        <v>FRESH MANGOSTEEN</v>
      </c>
      <c r="I186" s="431" t="s">
        <v>1851</v>
      </c>
      <c r="J186" s="439" t="s">
        <v>1862</v>
      </c>
      <c r="K186" s="432" t="s">
        <v>1863</v>
      </c>
      <c r="L186" s="433" t="s">
        <v>1379</v>
      </c>
      <c r="M186" s="513">
        <v>2</v>
      </c>
      <c r="N186" s="359">
        <v>1.8</v>
      </c>
      <c r="O186" s="435">
        <f>IFERROR(VLOOKUP(C186,DATA!$A$11:$L$71,6,FALSE),"")</f>
        <v>8.5</v>
      </c>
      <c r="P186" s="435">
        <f>IFERROR(VLOOKUP(C186,DATA!$A$11:$L$71,7,FALSE),"")</f>
        <v>7</v>
      </c>
      <c r="Q186" s="448">
        <v>1224</v>
      </c>
      <c r="R186" s="436" t="str">
        <f>IFERROR(VLOOKUP(C186,DATA!$A$11:$L$71,9,FALSE),"")</f>
        <v>PLASTIC BASKETS</v>
      </c>
      <c r="S186" s="538">
        <v>10</v>
      </c>
      <c r="T186" s="510" t="str">
        <f>IFERROR(VLOOKUP(C186,DATA!$A$11:$L$71,11,FALSE),"")</f>
        <v>5%</v>
      </c>
      <c r="U186" s="439" t="str">
        <f>IFERROR(VLOOKUP(C186,DATA!$A$11:$L$71,12,FALSE),"")</f>
        <v>BEIJING JUNYAO INTERNATIONAL</v>
      </c>
      <c r="V186" s="427" t="s">
        <v>1525</v>
      </c>
      <c r="W186" s="427" t="s">
        <v>1852</v>
      </c>
      <c r="X186" s="427" t="s">
        <v>192</v>
      </c>
      <c r="Y186" s="427" t="s">
        <v>571</v>
      </c>
      <c r="Z186" s="428">
        <v>45813</v>
      </c>
      <c r="AA186" s="440" t="s">
        <v>1853</v>
      </c>
      <c r="AB186" s="428">
        <v>45817</v>
      </c>
      <c r="AC186" s="428">
        <v>45820</v>
      </c>
      <c r="AD186" s="427" t="s">
        <v>40</v>
      </c>
      <c r="AE186" s="427" t="s">
        <v>1854</v>
      </c>
      <c r="AF186" s="441" t="s">
        <v>387</v>
      </c>
      <c r="AG186" s="441" t="s">
        <v>1663</v>
      </c>
      <c r="AH186" s="441" t="s">
        <v>1664</v>
      </c>
      <c r="AI186" s="441" t="s">
        <v>1665</v>
      </c>
      <c r="AJ186" s="441" t="s">
        <v>197</v>
      </c>
      <c r="AK186" s="428">
        <v>45813</v>
      </c>
      <c r="AL186" s="443"/>
      <c r="AM186" s="443"/>
      <c r="AN186" s="444"/>
      <c r="AO186" s="444"/>
      <c r="AP186" s="444">
        <f t="shared" si="5"/>
        <v>0</v>
      </c>
      <c r="AQ186" s="445" t="str">
        <f>IFERROR(VLOOKUP(C186,DATA!A$54:$N80,13,0),"")</f>
        <v/>
      </c>
      <c r="AR186" s="446" t="str">
        <f>IFERROR(VLOOKUP(C186,DATA!A$54:$N80,14,0),"")</f>
        <v/>
      </c>
      <c r="AS186" s="551" t="s">
        <v>1669</v>
      </c>
      <c r="AT186" s="656">
        <v>2304822</v>
      </c>
      <c r="AU186" s="587">
        <f t="shared" ca="1" si="12"/>
        <v>45813.616918055559</v>
      </c>
      <c r="AV186" s="587">
        <v>45875.470092592594</v>
      </c>
    </row>
    <row r="187" spans="1:48" ht="18" customHeight="1">
      <c r="A187" s="6" t="s">
        <v>1380</v>
      </c>
      <c r="B187" s="60">
        <v>45813</v>
      </c>
      <c r="C187" s="530" t="s">
        <v>1562</v>
      </c>
      <c r="D187" s="30">
        <v>5</v>
      </c>
      <c r="E187" s="6" t="s">
        <v>1563</v>
      </c>
      <c r="F187" s="6" t="s">
        <v>1564</v>
      </c>
      <c r="G187" s="30" t="s">
        <v>1864</v>
      </c>
      <c r="H187" s="6" t="str">
        <f>IFERROR(VLOOKUP(C187,DATA!$A$11:$L$64,3,FALSE),"")</f>
        <v>FRESH MANGOSTEEN</v>
      </c>
      <c r="I187" s="7" t="s">
        <v>1855</v>
      </c>
      <c r="J187" s="7" t="s">
        <v>1864</v>
      </c>
      <c r="K187" s="7" t="s">
        <v>1865</v>
      </c>
      <c r="L187" s="62" t="s">
        <v>1380</v>
      </c>
      <c r="M187" s="191">
        <f>IFERROR(VLOOKUP(C187,DATA!$A$11:$L$71,4,FALSE),"")</f>
        <v>1.67</v>
      </c>
      <c r="N187" s="192">
        <f>IFERROR(VLOOKUP(C187,DATA!$A$11:$L$71,5,FALSE),"")</f>
        <v>1.55</v>
      </c>
      <c r="O187" s="359">
        <v>16</v>
      </c>
      <c r="P187" s="359">
        <v>14</v>
      </c>
      <c r="Q187" s="193">
        <f>IFERROR(VLOOKUP(C187,DATA!$A$11:$L$71,8,FALSE),"")</f>
        <v>1350</v>
      </c>
      <c r="R187" s="194" t="str">
        <f>IFERROR(VLOOKUP(C187,DATA!$A$11:$L$71,9,FALSE),"")</f>
        <v>PLASTIC BASKETS</v>
      </c>
      <c r="S187" s="506">
        <v>11</v>
      </c>
      <c r="T187" s="196" t="str">
        <f>IFERROR(VLOOKUP(C187,DATA!$A$11:$L$71,11,FALSE),"")</f>
        <v>5%</v>
      </c>
      <c r="U187" s="32" t="str">
        <f>IFERROR(VLOOKUP(C187,DATA!$A$11:$L$71,12,FALSE),"")</f>
        <v>Yunnan Xinjiyi Agricultural Technology CO.,Ltd.</v>
      </c>
      <c r="V187" s="6" t="s">
        <v>1525</v>
      </c>
      <c r="W187" s="6" t="s">
        <v>1852</v>
      </c>
      <c r="X187" s="6" t="s">
        <v>192</v>
      </c>
      <c r="Y187" s="6" t="s">
        <v>571</v>
      </c>
      <c r="Z187" s="60">
        <v>45813</v>
      </c>
      <c r="AA187" s="318" t="s">
        <v>1853</v>
      </c>
      <c r="AB187" s="60">
        <v>45817</v>
      </c>
      <c r="AC187" s="60">
        <v>45820</v>
      </c>
      <c r="AD187" s="6" t="s">
        <v>40</v>
      </c>
      <c r="AE187" s="6" t="s">
        <v>1854</v>
      </c>
      <c r="AF187" s="65" t="s">
        <v>387</v>
      </c>
      <c r="AG187" s="65" t="s">
        <v>1856</v>
      </c>
      <c r="AH187" s="65" t="s">
        <v>1857</v>
      </c>
      <c r="AI187" s="65" t="s">
        <v>1858</v>
      </c>
      <c r="AJ187" s="65" t="s">
        <v>197</v>
      </c>
      <c r="AK187" s="66">
        <v>45813</v>
      </c>
      <c r="AL187" s="66"/>
      <c r="AM187" s="66"/>
      <c r="AN187" s="67"/>
      <c r="AO187" s="67"/>
      <c r="AP187" s="67">
        <f t="shared" si="5"/>
        <v>0</v>
      </c>
      <c r="AQ187" s="59">
        <f>IFERROR(VLOOKUP(C187,DATA!A$54:$N81,13,0),"")</f>
        <v>26</v>
      </c>
      <c r="AR187" s="59" t="str">
        <f>IFERROR(VLOOKUP(C187,DATA!A$54:$N81,14,0),"")</f>
        <v>(24 large pallets, 2 small pallets)</v>
      </c>
      <c r="AS187" s="541" t="s">
        <v>1687</v>
      </c>
      <c r="AT187" s="656">
        <v>2304888</v>
      </c>
      <c r="AU187" s="602">
        <f t="shared" ca="1" si="12"/>
        <v>45813.632239699073</v>
      </c>
      <c r="AV187" s="588">
        <v>45844.533379629633</v>
      </c>
    </row>
    <row r="188" spans="1:48" s="583" customFormat="1" ht="18" customHeight="1">
      <c r="A188" s="566" t="s">
        <v>1381</v>
      </c>
      <c r="B188" s="567">
        <v>45813</v>
      </c>
      <c r="C188" s="566" t="s">
        <v>1642</v>
      </c>
      <c r="D188" s="568">
        <v>4</v>
      </c>
      <c r="E188" s="566" t="s">
        <v>1630</v>
      </c>
      <c r="F188" s="566" t="s">
        <v>1631</v>
      </c>
      <c r="G188" s="681" t="s">
        <v>1874</v>
      </c>
      <c r="H188" s="566" t="str">
        <f>IFERROR(VLOOKUP(C188,DATA!$A$11:$L$64,3,FALSE),"")</f>
        <v>FRESH MANGOSTEEN</v>
      </c>
      <c r="I188" s="569" t="s">
        <v>1859</v>
      </c>
      <c r="J188" s="569" t="s">
        <v>1866</v>
      </c>
      <c r="K188" s="569" t="s">
        <v>1867</v>
      </c>
      <c r="L188" s="570" t="s">
        <v>1381</v>
      </c>
      <c r="M188" s="680">
        <v>67</v>
      </c>
      <c r="N188" s="572">
        <f>IFERROR(VLOOKUP(C188,DATA!$A$11:$L$71,5,FALSE),"")</f>
        <v>2.14</v>
      </c>
      <c r="O188" s="572">
        <f>IFERROR(VLOOKUP(C188,DATA!$A$11:$L$71,6,FALSE),"")</f>
        <v>8.3000000000000007</v>
      </c>
      <c r="P188" s="572">
        <f>IFERROR(VLOOKUP(C188,DATA!$A$11:$L$71,7,FALSE),"")</f>
        <v>7</v>
      </c>
      <c r="Q188" s="573">
        <f>IFERROR(VLOOKUP(C188,DATA!$A$11:$L$71,8,FALSE),"")</f>
        <v>2400</v>
      </c>
      <c r="R188" s="574" t="str">
        <f>IFERROR(VLOOKUP(C188,DATA!$A$11:$L$71,9,FALSE),"")</f>
        <v>PLASTIC BASKETS</v>
      </c>
      <c r="S188" s="575">
        <f>IFERROR(VLOOKUP(C188,DATA!$A$11:$L$71,10,FALSE),"")</f>
        <v>12</v>
      </c>
      <c r="T188" s="576" t="str">
        <f>IFERROR(VLOOKUP(C188,DATA!$A$11:$L$71,11,FALSE),"")</f>
        <v>5%</v>
      </c>
      <c r="U188" s="682" t="s">
        <v>1869</v>
      </c>
      <c r="V188" s="566" t="s">
        <v>190</v>
      </c>
      <c r="W188" s="566" t="s">
        <v>686</v>
      </c>
      <c r="X188" s="566" t="s">
        <v>192</v>
      </c>
      <c r="Y188" s="566" t="s">
        <v>864</v>
      </c>
      <c r="Z188" s="567">
        <v>45813</v>
      </c>
      <c r="AA188" s="584" t="s">
        <v>1860</v>
      </c>
      <c r="AB188" s="567">
        <v>45817</v>
      </c>
      <c r="AC188" s="567">
        <v>45821</v>
      </c>
      <c r="AD188" s="566" t="s">
        <v>24</v>
      </c>
      <c r="AE188" s="566" t="s">
        <v>1639</v>
      </c>
      <c r="AF188" s="578" t="s">
        <v>387</v>
      </c>
      <c r="AG188" s="578" t="s">
        <v>1505</v>
      </c>
      <c r="AH188" s="578" t="s">
        <v>1506</v>
      </c>
      <c r="AI188" s="578" t="s">
        <v>1507</v>
      </c>
      <c r="AJ188" s="578" t="s">
        <v>197</v>
      </c>
      <c r="AK188" s="567">
        <v>45813</v>
      </c>
      <c r="AL188" s="579"/>
      <c r="AM188" s="579"/>
      <c r="AN188" s="580"/>
      <c r="AO188" s="580"/>
      <c r="AP188" s="580">
        <f t="shared" si="5"/>
        <v>0</v>
      </c>
      <c r="AQ188" s="581"/>
      <c r="AR188" s="581"/>
      <c r="AS188" s="582" t="s">
        <v>1669</v>
      </c>
      <c r="AT188" s="657">
        <v>2304973</v>
      </c>
      <c r="AU188" s="601">
        <f t="shared" ca="1" si="12"/>
        <v>45813.637626504627</v>
      </c>
      <c r="AV188" s="600">
        <v>45906.434513888889</v>
      </c>
    </row>
    <row r="189" spans="1:48" ht="18" customHeight="1">
      <c r="A189" s="6" t="s">
        <v>1382</v>
      </c>
      <c r="B189" s="60">
        <v>45814</v>
      </c>
      <c r="C189" s="660" t="s">
        <v>1562</v>
      </c>
      <c r="D189" s="30">
        <v>6</v>
      </c>
      <c r="E189" s="6" t="s">
        <v>1563</v>
      </c>
      <c r="F189" s="6" t="s">
        <v>1564</v>
      </c>
      <c r="G189" s="30" t="s">
        <v>1895</v>
      </c>
      <c r="H189" s="6" t="str">
        <f>IFERROR(VLOOKUP(C189,DATA!$A$11:$L$64,3,FALSE),"")</f>
        <v>FRESH MANGOSTEEN</v>
      </c>
      <c r="I189" s="666" t="s">
        <v>1877</v>
      </c>
      <c r="J189" s="174" t="s">
        <v>1895</v>
      </c>
      <c r="K189" s="7" t="s">
        <v>1896</v>
      </c>
      <c r="L189" s="62" t="s">
        <v>1382</v>
      </c>
      <c r="M189" s="191">
        <f>IFERROR(VLOOKUP(C189,DATA!$A$11:$L$71,4,FALSE),"")</f>
        <v>1.67</v>
      </c>
      <c r="N189" s="192">
        <f>IFERROR(VLOOKUP(C189,DATA!$A$11:$L$71,5,FALSE),"")</f>
        <v>1.55</v>
      </c>
      <c r="O189" s="192">
        <f>IFERROR(VLOOKUP(C189,DATA!$A$11:$L$71,6,FALSE),"")</f>
        <v>16</v>
      </c>
      <c r="P189" s="192">
        <f>IFERROR(VLOOKUP(C189,DATA!$A$11:$L$71,7,FALSE),"")</f>
        <v>14</v>
      </c>
      <c r="Q189" s="193">
        <f>IFERROR(VLOOKUP(C189,DATA!$A$11:$L$71,8,FALSE),"")</f>
        <v>1350</v>
      </c>
      <c r="R189" s="194" t="str">
        <f>IFERROR(VLOOKUP(C189,DATA!$A$11:$L$71,9,FALSE),"")</f>
        <v>PLASTIC BASKETS</v>
      </c>
      <c r="S189" s="506">
        <v>11</v>
      </c>
      <c r="T189" s="196" t="str">
        <f>IFERROR(VLOOKUP(C189,DATA!$A$11:$L$71,11,FALSE),"")</f>
        <v>5%</v>
      </c>
      <c r="U189" s="32" t="str">
        <f>IFERROR(VLOOKUP(C189,DATA!$A$11:$L$71,12,FALSE),"")</f>
        <v>Yunnan Xinjiyi Agricultural Technology CO.,Ltd.</v>
      </c>
      <c r="V189" s="662" t="s">
        <v>1525</v>
      </c>
      <c r="W189" s="662" t="s">
        <v>1744</v>
      </c>
      <c r="X189" s="6" t="s">
        <v>192</v>
      </c>
      <c r="Y189" s="6" t="s">
        <v>864</v>
      </c>
      <c r="Z189" s="60">
        <v>45815</v>
      </c>
      <c r="AA189" s="683" t="s">
        <v>1904</v>
      </c>
      <c r="AB189" s="663">
        <v>45817</v>
      </c>
      <c r="AC189" s="663">
        <v>45821</v>
      </c>
      <c r="AD189" s="6" t="s">
        <v>24</v>
      </c>
      <c r="AE189" s="662" t="s">
        <v>1639</v>
      </c>
      <c r="AF189" s="65" t="s">
        <v>387</v>
      </c>
      <c r="AG189" s="65" t="s">
        <v>1882</v>
      </c>
      <c r="AH189" s="65" t="s">
        <v>1883</v>
      </c>
      <c r="AI189" s="65" t="s">
        <v>1884</v>
      </c>
      <c r="AJ189" s="65" t="s">
        <v>197</v>
      </c>
      <c r="AK189" s="66">
        <v>45814</v>
      </c>
      <c r="AL189" s="66"/>
      <c r="AM189" s="66"/>
      <c r="AN189" s="67"/>
      <c r="AO189" s="67"/>
      <c r="AP189" s="67">
        <f t="shared" si="5"/>
        <v>0</v>
      </c>
      <c r="AQ189" s="59">
        <f>IFERROR(VLOOKUP(C189,DATA!A$54:$N83,13,0),"")</f>
        <v>26</v>
      </c>
      <c r="AR189" s="59" t="str">
        <f>IFERROR(VLOOKUP(C189,DATA!A$54:$N83,14,0),"")</f>
        <v>(24 large pallets, 2 small pallets)</v>
      </c>
      <c r="AS189" s="541" t="s">
        <v>1687</v>
      </c>
      <c r="AT189" s="611">
        <v>2306247</v>
      </c>
      <c r="AU189" s="602">
        <f t="shared" ca="1" si="12"/>
        <v>45814.448623032411</v>
      </c>
      <c r="AV189" s="588" t="s">
        <v>2183</v>
      </c>
    </row>
    <row r="190" spans="1:48" ht="18" customHeight="1">
      <c r="A190" s="6" t="s">
        <v>1383</v>
      </c>
      <c r="B190" s="60">
        <v>45814</v>
      </c>
      <c r="C190" s="660" t="s">
        <v>1562</v>
      </c>
      <c r="D190" s="30">
        <v>7</v>
      </c>
      <c r="E190" s="6" t="s">
        <v>1563</v>
      </c>
      <c r="F190" s="6" t="s">
        <v>1564</v>
      </c>
      <c r="G190" s="30" t="s">
        <v>1897</v>
      </c>
      <c r="H190" s="6" t="str">
        <f>IFERROR(VLOOKUP(C190,DATA!$A$11:$L$64,3,FALSE),"")</f>
        <v>FRESH MANGOSTEEN</v>
      </c>
      <c r="I190" s="7" t="s">
        <v>1885</v>
      </c>
      <c r="J190" s="7" t="s">
        <v>1897</v>
      </c>
      <c r="K190" s="7" t="s">
        <v>1898</v>
      </c>
      <c r="L190" s="62" t="s">
        <v>1383</v>
      </c>
      <c r="M190" s="191">
        <f>IFERROR(VLOOKUP(C190,DATA!$A$11:$L$71,4,FALSE),"")</f>
        <v>1.67</v>
      </c>
      <c r="N190" s="192">
        <f>IFERROR(VLOOKUP(C190,DATA!$A$11:$L$71,5,FALSE),"")</f>
        <v>1.55</v>
      </c>
      <c r="O190" s="192">
        <f>IFERROR(VLOOKUP(C190,DATA!$A$11:$L$71,6,FALSE),"")</f>
        <v>16</v>
      </c>
      <c r="P190" s="192">
        <f>IFERROR(VLOOKUP(C190,DATA!$A$11:$L$71,7,FALSE),"")</f>
        <v>14</v>
      </c>
      <c r="Q190" s="193">
        <f>IFERROR(VLOOKUP(C190,DATA!$A$11:$L$71,8,FALSE),"")</f>
        <v>1350</v>
      </c>
      <c r="R190" s="194" t="str">
        <f>IFERROR(VLOOKUP(C190,DATA!$A$11:$L$71,9,FALSE),"")</f>
        <v>PLASTIC BASKETS</v>
      </c>
      <c r="S190" s="506">
        <v>11</v>
      </c>
      <c r="T190" s="196" t="str">
        <f>IFERROR(VLOOKUP(C190,DATA!$A$11:$L$71,11,FALSE),"")</f>
        <v>5%</v>
      </c>
      <c r="U190" s="32" t="str">
        <f>IFERROR(VLOOKUP(C190,DATA!$A$11:$L$71,12,FALSE),"")</f>
        <v>Yunnan Xinjiyi Agricultural Technology CO.,Ltd.</v>
      </c>
      <c r="V190" s="6" t="s">
        <v>1525</v>
      </c>
      <c r="W190" s="6" t="s">
        <v>1744</v>
      </c>
      <c r="X190" s="6" t="s">
        <v>192</v>
      </c>
      <c r="Y190" s="6" t="s">
        <v>864</v>
      </c>
      <c r="Z190" s="60">
        <v>45815</v>
      </c>
      <c r="AA190" s="318" t="s">
        <v>1904</v>
      </c>
      <c r="AB190" s="663">
        <v>45817</v>
      </c>
      <c r="AC190" s="663">
        <v>45821</v>
      </c>
      <c r="AD190" s="6" t="s">
        <v>24</v>
      </c>
      <c r="AE190" s="662" t="s">
        <v>1639</v>
      </c>
      <c r="AF190" s="65" t="s">
        <v>387</v>
      </c>
      <c r="AG190" s="65" t="s">
        <v>1886</v>
      </c>
      <c r="AH190" s="65" t="s">
        <v>1509</v>
      </c>
      <c r="AI190" s="65" t="s">
        <v>1887</v>
      </c>
      <c r="AJ190" s="65" t="s">
        <v>197</v>
      </c>
      <c r="AK190" s="66">
        <v>45814</v>
      </c>
      <c r="AL190" s="66"/>
      <c r="AM190" s="66"/>
      <c r="AN190" s="67"/>
      <c r="AO190" s="67"/>
      <c r="AP190" s="67">
        <f t="shared" si="5"/>
        <v>0</v>
      </c>
      <c r="AQ190" s="59">
        <f>IFERROR(VLOOKUP(C190,DATA!A$54:$N84,13,0),"")</f>
        <v>26</v>
      </c>
      <c r="AR190" s="59" t="str">
        <f>IFERROR(VLOOKUP(C190,DATA!A$54:$N84,14,0),"")</f>
        <v>(24 large pallets, 2 small pallets)</v>
      </c>
      <c r="AS190" s="541" t="s">
        <v>1687</v>
      </c>
      <c r="AT190" s="611">
        <v>2306449</v>
      </c>
      <c r="AU190" s="602">
        <f t="shared" ca="1" si="12"/>
        <v>45814.449567129632</v>
      </c>
      <c r="AV190" s="588" t="s">
        <v>2184</v>
      </c>
    </row>
    <row r="191" spans="1:48" s="273" customFormat="1" ht="18" customHeight="1">
      <c r="A191" s="257" t="s">
        <v>1384</v>
      </c>
      <c r="B191" s="257">
        <v>45814</v>
      </c>
      <c r="C191" s="691" t="s">
        <v>1903</v>
      </c>
      <c r="D191" s="258">
        <v>1</v>
      </c>
      <c r="E191" s="256" t="s">
        <v>1591</v>
      </c>
      <c r="F191" s="256" t="s">
        <v>1575</v>
      </c>
      <c r="G191" s="258" t="s">
        <v>1899</v>
      </c>
      <c r="H191" s="256" t="str">
        <f>IFERROR(VLOOKUP(C191,DATA!$A$11:$L$64,3,FALSE),"")</f>
        <v>FRESH MANGOSTEEN</v>
      </c>
      <c r="I191" s="315" t="s">
        <v>1888</v>
      </c>
      <c r="J191" s="315" t="s">
        <v>1899</v>
      </c>
      <c r="K191" s="315" t="s">
        <v>1900</v>
      </c>
      <c r="L191" s="261" t="s">
        <v>1384</v>
      </c>
      <c r="M191" s="262">
        <f>IFERROR(VLOOKUP(C191,DATA!$A$11:$L$71,4,FALSE),"")</f>
        <v>2</v>
      </c>
      <c r="N191" s="263">
        <f>IFERROR(VLOOKUP(C191,DATA!$A$11:$L$71,5,FALSE),"")</f>
        <v>1.8</v>
      </c>
      <c r="O191" s="263">
        <f>IFERROR(VLOOKUP(C191,DATA!$A$11:$L$71,6,FALSE),"")</f>
        <v>8.5</v>
      </c>
      <c r="P191" s="263">
        <f>IFERROR(VLOOKUP(C191,DATA!$A$11:$L$71,7,FALSE),"")</f>
        <v>7</v>
      </c>
      <c r="Q191" s="264">
        <f>IFERROR(VLOOKUP(C191,DATA!$A$11:$L$71,8,FALSE),"")</f>
        <v>2400</v>
      </c>
      <c r="R191" s="265" t="str">
        <f>IFERROR(VLOOKUP(C191,DATA!$A$11:$L$71,9,FALSE),"")</f>
        <v>PLASTIC BASKETS</v>
      </c>
      <c r="S191" s="698">
        <v>11</v>
      </c>
      <c r="T191" s="688" t="s">
        <v>890</v>
      </c>
      <c r="U191" s="259" t="str">
        <f>IFERROR(VLOOKUP(C191,DATA!$A$11:$L$71,12,FALSE),"")</f>
        <v>BEIJING JUNYAO INTERNATIONAL</v>
      </c>
      <c r="V191" s="256" t="s">
        <v>1525</v>
      </c>
      <c r="W191" s="256" t="s">
        <v>1744</v>
      </c>
      <c r="X191" s="256" t="s">
        <v>192</v>
      </c>
      <c r="Y191" s="256" t="s">
        <v>864</v>
      </c>
      <c r="Z191" s="257">
        <v>45815</v>
      </c>
      <c r="AA191" s="689" t="s">
        <v>1904</v>
      </c>
      <c r="AB191" s="257">
        <v>45817</v>
      </c>
      <c r="AC191" s="257">
        <v>45821</v>
      </c>
      <c r="AD191" s="691" t="s">
        <v>24</v>
      </c>
      <c r="AE191" s="256" t="s">
        <v>1639</v>
      </c>
      <c r="AF191" s="269" t="s">
        <v>387</v>
      </c>
      <c r="AG191" s="269" t="s">
        <v>1889</v>
      </c>
      <c r="AH191" s="269" t="s">
        <v>1890</v>
      </c>
      <c r="AI191" s="269" t="s">
        <v>1891</v>
      </c>
      <c r="AJ191" s="269" t="s">
        <v>197</v>
      </c>
      <c r="AK191" s="270">
        <v>45814</v>
      </c>
      <c r="AL191" s="270"/>
      <c r="AM191" s="270"/>
      <c r="AN191" s="271"/>
      <c r="AO191" s="271"/>
      <c r="AP191" s="271">
        <f t="shared" si="5"/>
        <v>0</v>
      </c>
      <c r="AQ191" s="272"/>
      <c r="AR191" s="272"/>
      <c r="AS191" s="273" t="s">
        <v>1686</v>
      </c>
      <c r="AT191" s="613">
        <v>2306824</v>
      </c>
      <c r="AU191" s="690">
        <f t="shared" ca="1" si="12"/>
        <v>45814.455607986114</v>
      </c>
      <c r="AV191" s="591" t="s">
        <v>2184</v>
      </c>
    </row>
    <row r="192" spans="1:48" s="678" customFormat="1" ht="18" customHeight="1">
      <c r="A192" s="6" t="s">
        <v>1385</v>
      </c>
      <c r="B192" s="663">
        <v>45814</v>
      </c>
      <c r="C192" s="662" t="s">
        <v>1444</v>
      </c>
      <c r="D192" s="664">
        <v>11</v>
      </c>
      <c r="E192" s="665" t="s">
        <v>1545</v>
      </c>
      <c r="F192" s="662" t="s">
        <v>1546</v>
      </c>
      <c r="G192" s="664" t="s">
        <v>1893</v>
      </c>
      <c r="H192" s="662" t="str">
        <f>IFERROR(VLOOKUP(C192,DATA!$A$11:$L$64,3,FALSE),"")</f>
        <v>FRESH MANGOSTEEN</v>
      </c>
      <c r="I192" s="666" t="s">
        <v>1881</v>
      </c>
      <c r="J192" s="666" t="s">
        <v>1893</v>
      </c>
      <c r="K192" s="666" t="s">
        <v>1894</v>
      </c>
      <c r="L192" s="667" t="s">
        <v>1385</v>
      </c>
      <c r="M192" s="513">
        <v>2</v>
      </c>
      <c r="N192" s="359">
        <v>1.8</v>
      </c>
      <c r="O192" s="435">
        <f>IFERROR(VLOOKUP(C192,DATA!$A$11:$L$71,6,FALSE),"")</f>
        <v>8.5</v>
      </c>
      <c r="P192" s="435">
        <f>IFERROR(VLOOKUP(C192,DATA!$A$11:$L$71,7,FALSE),"")</f>
        <v>7</v>
      </c>
      <c r="Q192" s="448">
        <v>816</v>
      </c>
      <c r="R192" s="668" t="str">
        <f>IFERROR(VLOOKUP(C192,DATA!$A$11:$L$71,9,FALSE),"")</f>
        <v>PLASTIC BASKETS</v>
      </c>
      <c r="S192" s="679">
        <v>10</v>
      </c>
      <c r="T192" s="669" t="str">
        <f>IFERROR(VLOOKUP(C192,DATA!$A$11:$L$71,11,FALSE),"")</f>
        <v>5%</v>
      </c>
      <c r="U192" s="670" t="str">
        <f>IFERROR(VLOOKUP(C192,DATA!$A$11:$L$71,12,FALSE),"")</f>
        <v>BEIJING JUNYAO INTERNATIONAL</v>
      </c>
      <c r="V192" s="662" t="s">
        <v>1525</v>
      </c>
      <c r="W192" s="662" t="s">
        <v>1744</v>
      </c>
      <c r="X192" s="662" t="s">
        <v>192</v>
      </c>
      <c r="Y192" s="662" t="s">
        <v>864</v>
      </c>
      <c r="Z192" s="663">
        <v>45815</v>
      </c>
      <c r="AA192" s="683" t="s">
        <v>1904</v>
      </c>
      <c r="AB192" s="663">
        <v>45817</v>
      </c>
      <c r="AC192" s="663">
        <v>45821</v>
      </c>
      <c r="AD192" s="662" t="s">
        <v>24</v>
      </c>
      <c r="AE192" s="662" t="s">
        <v>1639</v>
      </c>
      <c r="AF192" s="65" t="s">
        <v>387</v>
      </c>
      <c r="AG192" s="65" t="s">
        <v>1878</v>
      </c>
      <c r="AH192" s="65" t="s">
        <v>1879</v>
      </c>
      <c r="AI192" s="65" t="s">
        <v>1880</v>
      </c>
      <c r="AJ192" s="671" t="s">
        <v>197</v>
      </c>
      <c r="AK192" s="672">
        <v>45814</v>
      </c>
      <c r="AL192" s="672"/>
      <c r="AM192" s="672"/>
      <c r="AN192" s="673"/>
      <c r="AO192" s="673"/>
      <c r="AP192" s="673">
        <f t="shared" si="5"/>
        <v>0</v>
      </c>
      <c r="AQ192" s="674" t="str">
        <f>IFERROR(VLOOKUP(C192,DATA!A$54:$N86,13,0),"")</f>
        <v/>
      </c>
      <c r="AR192" s="674" t="str">
        <f>IFERROR(VLOOKUP(C192,DATA!A$54:$N86,14,0),"")</f>
        <v/>
      </c>
      <c r="AS192" s="551" t="s">
        <v>1669</v>
      </c>
      <c r="AT192" s="675">
        <v>2306284</v>
      </c>
      <c r="AU192" s="676">
        <f t="shared" ca="1" si="12"/>
        <v>45814.456116898145</v>
      </c>
      <c r="AV192" s="677" t="s">
        <v>2185</v>
      </c>
    </row>
    <row r="193" spans="1:48" s="528" customFormat="1" ht="18" customHeight="1">
      <c r="A193" s="515" t="s">
        <v>1386</v>
      </c>
      <c r="B193" s="515">
        <v>45815</v>
      </c>
      <c r="C193" s="514" t="s">
        <v>1576</v>
      </c>
      <c r="D193" s="516">
        <v>3</v>
      </c>
      <c r="E193" s="514" t="s">
        <v>1591</v>
      </c>
      <c r="F193" s="514" t="s">
        <v>1575</v>
      </c>
      <c r="G193" s="516" t="s">
        <v>1901</v>
      </c>
      <c r="H193" s="514" t="str">
        <f>IFERROR(VLOOKUP(C193,DATA!$A$11:$L$64,3,FALSE),"")</f>
        <v>FRESH MANGOSTEEN</v>
      </c>
      <c r="I193" s="517" t="s">
        <v>1875</v>
      </c>
      <c r="J193" s="517" t="s">
        <v>1901</v>
      </c>
      <c r="K193" s="517" t="s">
        <v>1902</v>
      </c>
      <c r="L193" s="518" t="s">
        <v>1386</v>
      </c>
      <c r="M193" s="685">
        <v>1.53</v>
      </c>
      <c r="N193" s="519">
        <v>1.41</v>
      </c>
      <c r="O193" s="533">
        <v>16</v>
      </c>
      <c r="P193" s="533">
        <v>14</v>
      </c>
      <c r="Q193" s="686">
        <f>IFERROR(VLOOKUP(C193,DATA!$A$11:$L$71,8,FALSE),"")</f>
        <v>1350</v>
      </c>
      <c r="R193" s="520" t="str">
        <f>IFERROR(VLOOKUP(C193,DATA!$A$11:$L$71,9,FALSE),"")</f>
        <v>PLASTIC BASKETS</v>
      </c>
      <c r="S193" s="687">
        <v>11</v>
      </c>
      <c r="T193" s="522" t="str">
        <f>IFERROR(VLOOKUP(C193,DATA!$A$11:$L$71,11,FALSE),"")</f>
        <v>5%</v>
      </c>
      <c r="U193" s="523" t="str">
        <f>IFERROR(VLOOKUP(C193,DATA!$A$11:$L$71,12,FALSE),"")</f>
        <v xml:space="preserve"> JiaXing TaiGuo Trading co.,ltd</v>
      </c>
      <c r="V193" s="514" t="s">
        <v>1525</v>
      </c>
      <c r="W193" s="514" t="s">
        <v>1744</v>
      </c>
      <c r="X193" s="514" t="s">
        <v>192</v>
      </c>
      <c r="Y193" s="514" t="s">
        <v>864</v>
      </c>
      <c r="Z193" s="515">
        <v>45815</v>
      </c>
      <c r="AA193" s="684" t="s">
        <v>1904</v>
      </c>
      <c r="AB193" s="515">
        <v>45817</v>
      </c>
      <c r="AC193" s="515">
        <v>45821</v>
      </c>
      <c r="AD193" s="514" t="s">
        <v>24</v>
      </c>
      <c r="AE193" s="514" t="s">
        <v>1639</v>
      </c>
      <c r="AF193" s="524" t="s">
        <v>387</v>
      </c>
      <c r="AG193" s="524" t="s">
        <v>1594</v>
      </c>
      <c r="AH193" s="524" t="s">
        <v>1595</v>
      </c>
      <c r="AI193" s="524" t="s">
        <v>1876</v>
      </c>
      <c r="AJ193" s="524" t="s">
        <v>197</v>
      </c>
      <c r="AK193" s="525">
        <v>45815</v>
      </c>
      <c r="AL193" s="525"/>
      <c r="AM193" s="525"/>
      <c r="AN193" s="526"/>
      <c r="AO193" s="526"/>
      <c r="AP193" s="526">
        <f t="shared" si="5"/>
        <v>0</v>
      </c>
      <c r="AQ193" s="527"/>
      <c r="AR193" s="527"/>
      <c r="AS193" s="528" t="s">
        <v>1686</v>
      </c>
      <c r="AT193" s="692">
        <v>2308031</v>
      </c>
      <c r="AU193" s="661">
        <f t="shared" ca="1" si="12"/>
        <v>45815.554863657409</v>
      </c>
      <c r="AV193" s="599" t="s">
        <v>2186</v>
      </c>
    </row>
    <row r="194" spans="1:48" ht="18" customHeight="1">
      <c r="A194" s="6" t="s">
        <v>1387</v>
      </c>
      <c r="B194" s="60">
        <v>45815</v>
      </c>
      <c r="C194" s="660" t="s">
        <v>1562</v>
      </c>
      <c r="D194" s="30">
        <v>8</v>
      </c>
      <c r="E194" s="6" t="s">
        <v>1563</v>
      </c>
      <c r="F194" s="6" t="s">
        <v>1564</v>
      </c>
      <c r="G194" s="30" t="s">
        <v>1908</v>
      </c>
      <c r="H194" s="6" t="str">
        <f>IFERROR(VLOOKUP(C194,DATA!$A$11:$L$64,3,FALSE),"")</f>
        <v>FRESH MANGOSTEEN</v>
      </c>
      <c r="I194" s="7" t="s">
        <v>1892</v>
      </c>
      <c r="J194" s="7" t="s">
        <v>1908</v>
      </c>
      <c r="K194" s="7" t="s">
        <v>1909</v>
      </c>
      <c r="L194" s="62" t="s">
        <v>1387</v>
      </c>
      <c r="M194" s="191">
        <f>IFERROR(VLOOKUP(C194,DATA!$A$11:$L$71,4,FALSE),"")</f>
        <v>1.67</v>
      </c>
      <c r="N194" s="192">
        <f>IFERROR(VLOOKUP(C194,DATA!$A$11:$L$71,5,FALSE),"")</f>
        <v>1.55</v>
      </c>
      <c r="O194" s="700">
        <v>16</v>
      </c>
      <c r="P194" s="192">
        <f>IFERROR(VLOOKUP(C194,DATA!$A$11:$L$71,7,FALSE),"")</f>
        <v>14</v>
      </c>
      <c r="Q194" s="193">
        <f>IFERROR(VLOOKUP(C194,DATA!$A$11:$L$71,8,FALSE),"")</f>
        <v>1350</v>
      </c>
      <c r="R194" s="194" t="str">
        <f>IFERROR(VLOOKUP(C194,DATA!$A$11:$L$71,9,FALSE),"")</f>
        <v>PLASTIC BASKETS</v>
      </c>
      <c r="S194" s="506">
        <v>11</v>
      </c>
      <c r="T194" s="196" t="str">
        <f>IFERROR(VLOOKUP(C194,DATA!$A$11:$L$71,11,FALSE),"")</f>
        <v>5%</v>
      </c>
      <c r="U194" s="32" t="str">
        <f>IFERROR(VLOOKUP(C194,DATA!$A$11:$L$71,12,FALSE),"")</f>
        <v>Yunnan Xinjiyi Agricultural Technology CO.,Ltd.</v>
      </c>
      <c r="V194" s="6" t="s">
        <v>1525</v>
      </c>
      <c r="W194" s="6" t="s">
        <v>1744</v>
      </c>
      <c r="X194" s="6" t="s">
        <v>192</v>
      </c>
      <c r="Y194" s="6" t="s">
        <v>864</v>
      </c>
      <c r="Z194" s="60">
        <v>45815</v>
      </c>
      <c r="AA194" s="318" t="s">
        <v>1904</v>
      </c>
      <c r="AB194" s="663">
        <v>45817</v>
      </c>
      <c r="AC194" s="663">
        <v>45821</v>
      </c>
      <c r="AD194" s="6" t="s">
        <v>24</v>
      </c>
      <c r="AE194" s="6" t="s">
        <v>1639</v>
      </c>
      <c r="AF194" s="65" t="s">
        <v>387</v>
      </c>
      <c r="AG194" s="65" t="s">
        <v>1905</v>
      </c>
      <c r="AH194" s="65" t="s">
        <v>1906</v>
      </c>
      <c r="AI194" s="65" t="s">
        <v>1907</v>
      </c>
      <c r="AJ194" s="65" t="s">
        <v>197</v>
      </c>
      <c r="AK194" s="66">
        <v>45815</v>
      </c>
      <c r="AL194" s="66"/>
      <c r="AM194" s="66"/>
      <c r="AN194" s="67"/>
      <c r="AO194" s="67"/>
      <c r="AP194" s="67">
        <f t="shared" si="5"/>
        <v>0</v>
      </c>
      <c r="AQ194" s="59">
        <f>IFERROR(VLOOKUP(C194,DATA!A$54:$N88,13,0),"")</f>
        <v>26</v>
      </c>
      <c r="AR194" s="59" t="str">
        <f>IFERROR(VLOOKUP(C194,DATA!A$54:$N88,14,0),"")</f>
        <v>(24 large pallets, 2 small pallets)</v>
      </c>
      <c r="AS194" s="541" t="s">
        <v>1687</v>
      </c>
      <c r="AT194" s="692">
        <v>2308091</v>
      </c>
      <c r="AU194" s="602">
        <f t="shared" ca="1" si="12"/>
        <v>45815.581192013888</v>
      </c>
      <c r="AV194" s="588" t="s">
        <v>2186</v>
      </c>
    </row>
    <row r="195" spans="1:48" s="583" customFormat="1" ht="18" customHeight="1">
      <c r="A195" s="567" t="s">
        <v>1388</v>
      </c>
      <c r="B195" s="567">
        <v>45815</v>
      </c>
      <c r="C195" s="695" t="s">
        <v>1642</v>
      </c>
      <c r="D195" s="568">
        <v>5</v>
      </c>
      <c r="E195" s="566" t="s">
        <v>1630</v>
      </c>
      <c r="F195" s="566" t="s">
        <v>1631</v>
      </c>
      <c r="G195" s="568" t="s">
        <v>1738</v>
      </c>
      <c r="H195" s="566" t="str">
        <f>IFERROR(VLOOKUP(C195,DATA!$A$11:$L$64,3,FALSE),"")</f>
        <v>FRESH MANGOSTEEN</v>
      </c>
      <c r="I195" s="566" t="s">
        <v>1911</v>
      </c>
      <c r="J195" s="569" t="s">
        <v>1912</v>
      </c>
      <c r="K195" s="569" t="s">
        <v>1913</v>
      </c>
      <c r="L195" s="570" t="s">
        <v>1388</v>
      </c>
      <c r="M195" s="680">
        <v>65</v>
      </c>
      <c r="N195" s="718">
        <v>2.12</v>
      </c>
      <c r="O195" s="572">
        <f>IFERROR(VLOOKUP(C195,DATA!$A$11:$L$71,6,FALSE),"")</f>
        <v>8.3000000000000007</v>
      </c>
      <c r="P195" s="572">
        <f>IFERROR(VLOOKUP(C195,DATA!$A$11:$L$71,7,FALSE),"")</f>
        <v>7</v>
      </c>
      <c r="Q195" s="573">
        <f>IFERROR(VLOOKUP(C195,DATA!$A$11:$L$71,8,FALSE),"")</f>
        <v>2400</v>
      </c>
      <c r="R195" s="574" t="str">
        <f>IFERROR(VLOOKUP(C195,DATA!$A$11:$L$71,9,FALSE),"")</f>
        <v>PLASTIC BASKETS</v>
      </c>
      <c r="S195" s="575">
        <f>IFERROR(VLOOKUP(C195,DATA!$A$11:$L$71,10,FALSE),"")</f>
        <v>12</v>
      </c>
      <c r="T195" s="576" t="str">
        <f>IFERROR(VLOOKUP(C195,DATA!$A$11:$L$71,11,FALSE),"")</f>
        <v>5%</v>
      </c>
      <c r="U195" s="577" t="str">
        <f>IFERROR(VLOOKUP(C195,DATA!$A$11:$L$71,12,FALSE),"")</f>
        <v>GUOSHEN(JIANGSU) INTERNATIONAL TRADE CO., LTD</v>
      </c>
      <c r="V195" s="566" t="s">
        <v>1525</v>
      </c>
      <c r="W195" s="566" t="s">
        <v>1408</v>
      </c>
      <c r="X195" s="566" t="s">
        <v>192</v>
      </c>
      <c r="Y195" s="566" t="s">
        <v>864</v>
      </c>
      <c r="Z195" s="567">
        <v>45815</v>
      </c>
      <c r="AA195" s="584" t="s">
        <v>1933</v>
      </c>
      <c r="AB195" s="567">
        <v>45820</v>
      </c>
      <c r="AC195" s="567">
        <v>45824</v>
      </c>
      <c r="AD195" s="566" t="s">
        <v>13</v>
      </c>
      <c r="AE195" s="566" t="s">
        <v>1914</v>
      </c>
      <c r="AF195" s="578" t="s">
        <v>387</v>
      </c>
      <c r="AG195" s="578" t="s">
        <v>1915</v>
      </c>
      <c r="AH195" s="578" t="s">
        <v>1916</v>
      </c>
      <c r="AI195" s="578" t="s">
        <v>1917</v>
      </c>
      <c r="AJ195" s="578" t="s">
        <v>197</v>
      </c>
      <c r="AK195" s="579">
        <v>45815</v>
      </c>
      <c r="AL195" s="579"/>
      <c r="AM195" s="579"/>
      <c r="AN195" s="693"/>
      <c r="AO195" s="693"/>
      <c r="AP195" s="580">
        <f t="shared" si="5"/>
        <v>0</v>
      </c>
      <c r="AQ195" s="581"/>
      <c r="AR195" s="581"/>
      <c r="AS195" s="582" t="s">
        <v>1669</v>
      </c>
      <c r="AT195" s="694">
        <v>2308507</v>
      </c>
      <c r="AU195" s="601">
        <f t="shared" ca="1" si="12"/>
        <v>45815.599834953704</v>
      </c>
      <c r="AV195" s="600" t="s">
        <v>2187</v>
      </c>
    </row>
    <row r="196" spans="1:48" ht="18" customHeight="1">
      <c r="A196" s="6" t="s">
        <v>1389</v>
      </c>
      <c r="B196" s="60">
        <v>45815</v>
      </c>
      <c r="C196" s="660" t="s">
        <v>1562</v>
      </c>
      <c r="D196" s="30">
        <v>9</v>
      </c>
      <c r="E196" s="6" t="s">
        <v>1563</v>
      </c>
      <c r="F196" s="6" t="s">
        <v>1564</v>
      </c>
      <c r="G196" s="30" t="s">
        <v>1918</v>
      </c>
      <c r="H196" s="6" t="str">
        <f>IFERROR(VLOOKUP(C196,DATA!$A$11:$L$64,3,FALSE),"")</f>
        <v>FRESH MANGOSTEEN</v>
      </c>
      <c r="I196" s="7" t="s">
        <v>1910</v>
      </c>
      <c r="J196" s="7" t="s">
        <v>1918</v>
      </c>
      <c r="K196" s="7" t="s">
        <v>1919</v>
      </c>
      <c r="L196" s="62" t="s">
        <v>1389</v>
      </c>
      <c r="M196" s="191">
        <f>IFERROR(VLOOKUP(C196,DATA!$A$11:$L$71,4,FALSE),"")</f>
        <v>1.67</v>
      </c>
      <c r="N196" s="192">
        <f>IFERROR(VLOOKUP(C196,DATA!$A$11:$L$71,5,FALSE),"")</f>
        <v>1.55</v>
      </c>
      <c r="O196" s="192">
        <f>IFERROR(VLOOKUP(C196,DATA!$A$11:$L$71,6,FALSE),"")</f>
        <v>16</v>
      </c>
      <c r="P196" s="192">
        <f>IFERROR(VLOOKUP(C196,DATA!$A$11:$L$71,7,FALSE),"")</f>
        <v>14</v>
      </c>
      <c r="Q196" s="193">
        <f>IFERROR(VLOOKUP(C196,DATA!$A$11:$L$71,8,FALSE),"")</f>
        <v>1350</v>
      </c>
      <c r="R196" s="194" t="str">
        <f>IFERROR(VLOOKUP(C196,DATA!$A$11:$L$71,9,FALSE),"")</f>
        <v>PLASTIC BASKETS</v>
      </c>
      <c r="S196" s="506">
        <v>11</v>
      </c>
      <c r="T196" s="196" t="str">
        <f>IFERROR(VLOOKUP(C196,DATA!$A$11:$L$71,11,FALSE),"")</f>
        <v>5%</v>
      </c>
      <c r="U196" s="32" t="str">
        <f>IFERROR(VLOOKUP(C196,DATA!$A$11:$L$71,12,FALSE),"")</f>
        <v>Yunnan Xinjiyi Agricultural Technology CO.,Ltd.</v>
      </c>
      <c r="V196" s="6" t="s">
        <v>190</v>
      </c>
      <c r="W196" s="6" t="s">
        <v>686</v>
      </c>
      <c r="X196" s="6" t="s">
        <v>192</v>
      </c>
      <c r="Y196" s="6" t="s">
        <v>864</v>
      </c>
      <c r="Z196" s="60">
        <v>45815</v>
      </c>
      <c r="AA196" s="318" t="s">
        <v>1920</v>
      </c>
      <c r="AB196" s="663">
        <v>45820</v>
      </c>
      <c r="AC196" s="663">
        <v>45824</v>
      </c>
      <c r="AD196" s="6" t="s">
        <v>13</v>
      </c>
      <c r="AE196" s="6" t="s">
        <v>1914</v>
      </c>
      <c r="AF196" s="65" t="s">
        <v>1497</v>
      </c>
      <c r="AG196" s="65" t="s">
        <v>1921</v>
      </c>
      <c r="AH196" s="65" t="s">
        <v>1922</v>
      </c>
      <c r="AI196" s="65" t="s">
        <v>1923</v>
      </c>
      <c r="AJ196" s="65" t="s">
        <v>197</v>
      </c>
      <c r="AK196" s="66">
        <v>45815</v>
      </c>
      <c r="AL196" s="66"/>
      <c r="AM196" s="66"/>
      <c r="AN196" s="67"/>
      <c r="AO196" s="67"/>
      <c r="AP196" s="67">
        <f t="shared" si="5"/>
        <v>0</v>
      </c>
      <c r="AQ196" s="59">
        <f>IFERROR(VLOOKUP(C196,DATA!A$54:$N90,13,0),"")</f>
        <v>26</v>
      </c>
      <c r="AR196" s="59" t="str">
        <f>IFERROR(VLOOKUP(C196,DATA!A$54:$N90,14,0),"")</f>
        <v>(24 large pallets, 2 small pallets)</v>
      </c>
      <c r="AS196" s="541" t="s">
        <v>1687</v>
      </c>
      <c r="AT196" s="692">
        <v>2308512</v>
      </c>
      <c r="AU196" s="602">
        <f t="shared" ca="1" si="12"/>
        <v>45815.599840856485</v>
      </c>
      <c r="AV196" s="588" t="s">
        <v>2188</v>
      </c>
    </row>
    <row r="197" spans="1:48" ht="18" customHeight="1">
      <c r="A197" s="6" t="s">
        <v>1390</v>
      </c>
      <c r="B197" s="60">
        <v>45815</v>
      </c>
      <c r="C197" s="660" t="s">
        <v>1562</v>
      </c>
      <c r="D197" s="30">
        <v>10</v>
      </c>
      <c r="E197" s="6" t="s">
        <v>1563</v>
      </c>
      <c r="F197" s="6" t="s">
        <v>1564</v>
      </c>
      <c r="G197" s="30" t="s">
        <v>1924</v>
      </c>
      <c r="H197" s="6" t="str">
        <f>IFERROR(VLOOKUP(C197,DATA!$A$11:$L$64,3,FALSE),"")</f>
        <v>FRESH MANGOSTEEN</v>
      </c>
      <c r="I197" s="7" t="s">
        <v>1925</v>
      </c>
      <c r="J197" s="7" t="s">
        <v>1924</v>
      </c>
      <c r="K197" s="7" t="s">
        <v>1926</v>
      </c>
      <c r="L197" s="62" t="s">
        <v>1390</v>
      </c>
      <c r="M197" s="191">
        <f>IFERROR(VLOOKUP(C197,DATA!$A$11:$L$71,4,FALSE),"")</f>
        <v>1.67</v>
      </c>
      <c r="N197" s="192">
        <f>IFERROR(VLOOKUP(C197,DATA!$A$11:$L$71,5,FALSE),"")</f>
        <v>1.55</v>
      </c>
      <c r="O197" s="192">
        <f>IFERROR(VLOOKUP(C197,DATA!$A$11:$L$71,6,FALSE),"")</f>
        <v>16</v>
      </c>
      <c r="P197" s="192">
        <f>IFERROR(VLOOKUP(C197,DATA!$A$11:$L$71,7,FALSE),"")</f>
        <v>14</v>
      </c>
      <c r="Q197" s="193">
        <f>IFERROR(VLOOKUP(C197,DATA!$A$11:$L$71,8,FALSE),"")</f>
        <v>1350</v>
      </c>
      <c r="R197" s="194" t="str">
        <f>IFERROR(VLOOKUP(C197,DATA!$A$11:$L$71,9,FALSE),"")</f>
        <v>PLASTIC BASKETS</v>
      </c>
      <c r="S197" s="506">
        <v>11</v>
      </c>
      <c r="T197" s="196" t="str">
        <f>IFERROR(VLOOKUP(C197,DATA!$A$11:$L$71,11,FALSE),"")</f>
        <v>5%</v>
      </c>
      <c r="U197" s="32" t="str">
        <f>IFERROR(VLOOKUP(C197,DATA!$A$11:$L$71,12,FALSE),"")</f>
        <v>Yunnan Xinjiyi Agricultural Technology CO.,Ltd.</v>
      </c>
      <c r="V197" s="6" t="s">
        <v>190</v>
      </c>
      <c r="W197" s="6" t="s">
        <v>686</v>
      </c>
      <c r="X197" s="6" t="s">
        <v>192</v>
      </c>
      <c r="Y197" s="6" t="s">
        <v>864</v>
      </c>
      <c r="Z197" s="60">
        <v>45815</v>
      </c>
      <c r="AA197" s="318" t="s">
        <v>1920</v>
      </c>
      <c r="AB197" s="663">
        <v>45820</v>
      </c>
      <c r="AC197" s="663">
        <v>45824</v>
      </c>
      <c r="AD197" s="6" t="s">
        <v>13</v>
      </c>
      <c r="AE197" s="6" t="s">
        <v>1914</v>
      </c>
      <c r="AF197" s="65" t="s">
        <v>1497</v>
      </c>
      <c r="AG197" s="65" t="s">
        <v>1927</v>
      </c>
      <c r="AH197" s="65" t="s">
        <v>1928</v>
      </c>
      <c r="AI197" s="65" t="s">
        <v>1929</v>
      </c>
      <c r="AJ197" s="65" t="s">
        <v>197</v>
      </c>
      <c r="AK197" s="66">
        <v>45815</v>
      </c>
      <c r="AL197" s="66"/>
      <c r="AM197" s="66"/>
      <c r="AN197" s="68"/>
      <c r="AO197" s="68"/>
      <c r="AP197" s="67">
        <f t="shared" si="5"/>
        <v>0</v>
      </c>
      <c r="AQ197" s="59">
        <f>IFERROR(VLOOKUP(C197,DATA!A$54:$N91,13,0),"")</f>
        <v>26</v>
      </c>
      <c r="AR197" s="59" t="str">
        <f>IFERROR(VLOOKUP(C197,DATA!A$54:$N91,14,0),"")</f>
        <v>(24 large pallets, 2 small pallets)</v>
      </c>
      <c r="AS197" s="541" t="s">
        <v>1687</v>
      </c>
      <c r="AT197" s="692">
        <v>2308514</v>
      </c>
      <c r="AU197" s="602">
        <f t="shared" ca="1" si="12"/>
        <v>45815.743058796295</v>
      </c>
      <c r="AV197" s="588" t="s">
        <v>2188</v>
      </c>
    </row>
    <row r="198" spans="1:48" s="678" customFormat="1" ht="18" customHeight="1">
      <c r="A198" s="6" t="s">
        <v>1391</v>
      </c>
      <c r="B198" s="663">
        <v>45815</v>
      </c>
      <c r="C198" s="662" t="s">
        <v>1444</v>
      </c>
      <c r="D198" s="664">
        <v>12</v>
      </c>
      <c r="E198" s="665" t="s">
        <v>1545</v>
      </c>
      <c r="F198" s="662" t="s">
        <v>1546</v>
      </c>
      <c r="G198" s="664" t="s">
        <v>1931</v>
      </c>
      <c r="H198" s="662" t="str">
        <f>IFERROR(VLOOKUP(C198,DATA!$A$11:$L$64,3,FALSE),"")</f>
        <v>FRESH MANGOSTEEN</v>
      </c>
      <c r="I198" s="666" t="s">
        <v>1930</v>
      </c>
      <c r="J198" s="666" t="s">
        <v>1931</v>
      </c>
      <c r="K198" s="666" t="s">
        <v>1932</v>
      </c>
      <c r="L198" s="667" t="s">
        <v>1391</v>
      </c>
      <c r="M198" s="513">
        <v>2</v>
      </c>
      <c r="N198" s="359">
        <v>1.8</v>
      </c>
      <c r="O198" s="701">
        <v>16.5</v>
      </c>
      <c r="P198" s="701">
        <v>14.5</v>
      </c>
      <c r="Q198" s="697">
        <v>1350</v>
      </c>
      <c r="R198" s="668" t="str">
        <f>IFERROR(VLOOKUP(C198,DATA!$A$11:$L$71,9,FALSE),"")</f>
        <v>PLASTIC BASKETS</v>
      </c>
      <c r="S198" s="679">
        <v>9</v>
      </c>
      <c r="T198" s="669" t="str">
        <f>IFERROR(VLOOKUP(C198,DATA!$A$11:$L$71,11,FALSE),"")</f>
        <v>5%</v>
      </c>
      <c r="U198" s="670" t="str">
        <f>IFERROR(VLOOKUP(C198,DATA!$A$11:$L$71,12,FALSE),"")</f>
        <v>BEIJING JUNYAO INTERNATIONAL</v>
      </c>
      <c r="V198" s="662" t="s">
        <v>1525</v>
      </c>
      <c r="W198" s="662" t="s">
        <v>1744</v>
      </c>
      <c r="X198" s="662" t="s">
        <v>192</v>
      </c>
      <c r="Y198" s="662" t="s">
        <v>864</v>
      </c>
      <c r="Z198" s="663">
        <v>45815</v>
      </c>
      <c r="AA198" s="683" t="s">
        <v>1745</v>
      </c>
      <c r="AB198" s="663">
        <v>45817</v>
      </c>
      <c r="AC198" s="663">
        <v>45821</v>
      </c>
      <c r="AD198" s="662" t="s">
        <v>24</v>
      </c>
      <c r="AE198" s="662" t="s">
        <v>1639</v>
      </c>
      <c r="AF198" s="671" t="s">
        <v>1497</v>
      </c>
      <c r="AG198" s="671" t="s">
        <v>1934</v>
      </c>
      <c r="AH198" s="671" t="s">
        <v>1935</v>
      </c>
      <c r="AI198" s="671" t="s">
        <v>1936</v>
      </c>
      <c r="AJ198" s="671" t="s">
        <v>197</v>
      </c>
      <c r="AK198" s="672">
        <v>45815</v>
      </c>
      <c r="AL198" s="672"/>
      <c r="AM198" s="672"/>
      <c r="AN198" s="696"/>
      <c r="AO198" s="696"/>
      <c r="AP198" s="673">
        <f t="shared" si="5"/>
        <v>0</v>
      </c>
      <c r="AQ198" s="674" t="str">
        <f>IFERROR(VLOOKUP(C198,DATA!A$54:$N92,13,0),"")</f>
        <v/>
      </c>
      <c r="AR198" s="674" t="str">
        <f>IFERROR(VLOOKUP(C198,DATA!A$54:$N92,14,0),"")</f>
        <v/>
      </c>
      <c r="AS198" s="551" t="s">
        <v>1669</v>
      </c>
      <c r="AT198" s="692">
        <v>2308529</v>
      </c>
      <c r="AU198" s="676">
        <f t="shared" ca="1" si="12"/>
        <v>45815.747572916669</v>
      </c>
      <c r="AV198" s="677" t="s">
        <v>2189</v>
      </c>
    </row>
    <row r="199" spans="1:48" s="528" customFormat="1" ht="18" customHeight="1">
      <c r="A199" s="515" t="s">
        <v>1392</v>
      </c>
      <c r="B199" s="515">
        <v>45817</v>
      </c>
      <c r="C199" s="514" t="s">
        <v>1576</v>
      </c>
      <c r="D199" s="516">
        <v>4</v>
      </c>
      <c r="E199" s="514" t="s">
        <v>1591</v>
      </c>
      <c r="F199" s="514" t="s">
        <v>1575</v>
      </c>
      <c r="G199" s="516" t="s">
        <v>1937</v>
      </c>
      <c r="H199" s="514" t="str">
        <f>IFERROR(VLOOKUP(C199,DATA!$A$11:$L$64,3,FALSE),"")</f>
        <v>FRESH MANGOSTEEN</v>
      </c>
      <c r="I199" s="517" t="s">
        <v>1939</v>
      </c>
      <c r="J199" s="517" t="s">
        <v>1937</v>
      </c>
      <c r="K199" s="517" t="s">
        <v>1938</v>
      </c>
      <c r="L199" s="518" t="s">
        <v>1392</v>
      </c>
      <c r="M199" s="534">
        <v>1.48</v>
      </c>
      <c r="N199" s="533">
        <v>1.35</v>
      </c>
      <c r="O199" s="533">
        <f>IFERROR(VLOOKUP(C199,DATA!$A$11:$L$71,6,FALSE),"")</f>
        <v>16</v>
      </c>
      <c r="P199" s="533">
        <f>IFERROR(VLOOKUP(C199,DATA!$A$11:$L$71,7,FALSE),"")</f>
        <v>14</v>
      </c>
      <c r="Q199" s="686">
        <f>IFERROR(VLOOKUP(C199,DATA!$A$11:$L$71,8,FALSE),"")</f>
        <v>1350</v>
      </c>
      <c r="R199" s="520" t="str">
        <f>IFERROR(VLOOKUP(C199,DATA!$A$11:$L$71,9,FALSE),"")</f>
        <v>PLASTIC BASKETS</v>
      </c>
      <c r="S199" s="687">
        <v>10</v>
      </c>
      <c r="T199" s="522" t="str">
        <f>IFERROR(VLOOKUP(C199,DATA!$A$11:$L$71,11,FALSE),"")</f>
        <v>5%</v>
      </c>
      <c r="U199" s="523" t="str">
        <f>IFERROR(VLOOKUP(C199,DATA!$A$11:$L$71,12,FALSE),"")</f>
        <v xml:space="preserve"> JiaXing TaiGuo Trading co.,ltd</v>
      </c>
      <c r="V199" s="514" t="s">
        <v>1525</v>
      </c>
      <c r="W199" s="514" t="s">
        <v>1613</v>
      </c>
      <c r="X199" s="514" t="s">
        <v>192</v>
      </c>
      <c r="Y199" s="514" t="s">
        <v>864</v>
      </c>
      <c r="Z199" s="515">
        <v>45817</v>
      </c>
      <c r="AA199" s="684" t="s">
        <v>1940</v>
      </c>
      <c r="AB199" s="515">
        <v>45820</v>
      </c>
      <c r="AC199" s="515">
        <v>45824</v>
      </c>
      <c r="AD199" s="514" t="s">
        <v>13</v>
      </c>
      <c r="AE199" s="514" t="s">
        <v>1914</v>
      </c>
      <c r="AF199" s="524" t="s">
        <v>387</v>
      </c>
      <c r="AG199" s="524" t="s">
        <v>1749</v>
      </c>
      <c r="AH199" s="524" t="s">
        <v>1750</v>
      </c>
      <c r="AI199" s="524" t="s">
        <v>1751</v>
      </c>
      <c r="AJ199" s="524" t="s">
        <v>197</v>
      </c>
      <c r="AK199" s="525">
        <v>45817</v>
      </c>
      <c r="AL199" s="525"/>
      <c r="AM199" s="525"/>
      <c r="AN199" s="526"/>
      <c r="AO199" s="526"/>
      <c r="AP199" s="526">
        <f t="shared" si="5"/>
        <v>0</v>
      </c>
      <c r="AQ199" s="527"/>
      <c r="AR199" s="527"/>
      <c r="AS199" s="528" t="s">
        <v>1686</v>
      </c>
      <c r="AT199" s="692">
        <v>2312095</v>
      </c>
      <c r="AU199" s="661">
        <f t="shared" ca="1" si="12"/>
        <v>45817.699225462966</v>
      </c>
      <c r="AV199" s="599" t="s">
        <v>2190</v>
      </c>
    </row>
    <row r="200" spans="1:48" s="528" customFormat="1" ht="18" customHeight="1">
      <c r="A200" s="515" t="s">
        <v>1393</v>
      </c>
      <c r="B200" s="515">
        <v>45817</v>
      </c>
      <c r="C200" s="514" t="s">
        <v>1576</v>
      </c>
      <c r="D200" s="516">
        <v>5</v>
      </c>
      <c r="E200" s="514" t="s">
        <v>1591</v>
      </c>
      <c r="F200" s="514" t="s">
        <v>1575</v>
      </c>
      <c r="G200" s="516" t="s">
        <v>1942</v>
      </c>
      <c r="H200" s="514" t="str">
        <f>IFERROR(VLOOKUP(C200,DATA!$A$11:$L$64,3,FALSE),"")</f>
        <v>FRESH MANGOSTEEN</v>
      </c>
      <c r="I200" s="517" t="s">
        <v>1941</v>
      </c>
      <c r="J200" s="517" t="s">
        <v>1942</v>
      </c>
      <c r="K200" s="517" t="s">
        <v>1943</v>
      </c>
      <c r="L200" s="518" t="s">
        <v>1393</v>
      </c>
      <c r="M200" s="534">
        <v>1.32</v>
      </c>
      <c r="N200" s="533">
        <v>1.2</v>
      </c>
      <c r="O200" s="533">
        <f>IFERROR(VLOOKUP(C200,DATA!$A$11:$L$71,6,FALSE),"")</f>
        <v>16</v>
      </c>
      <c r="P200" s="533">
        <f>IFERROR(VLOOKUP(C200,DATA!$A$11:$L$71,7,FALSE),"")</f>
        <v>14</v>
      </c>
      <c r="Q200" s="686">
        <f>IFERROR(VLOOKUP(C200,DATA!$A$11:$L$71,8,FALSE),"")</f>
        <v>1350</v>
      </c>
      <c r="R200" s="520" t="str">
        <f>IFERROR(VLOOKUP(C200,DATA!$A$11:$L$71,9,FALSE),"")</f>
        <v>PLASTIC BASKETS</v>
      </c>
      <c r="S200" s="687">
        <f>IFERROR(VLOOKUP(C200,DATA!$A$11:$L$71,10,FALSE),"")</f>
        <v>10</v>
      </c>
      <c r="T200" s="522" t="str">
        <f>IFERROR(VLOOKUP(C200,DATA!$A$11:$L$71,11,FALSE),"")</f>
        <v>5%</v>
      </c>
      <c r="U200" s="523" t="str">
        <f>IFERROR(VLOOKUP(C200,DATA!$A$11:$L$71,12,FALSE),"")</f>
        <v xml:space="preserve"> JiaXing TaiGuo Trading co.,ltd</v>
      </c>
      <c r="V200" s="514" t="s">
        <v>1525</v>
      </c>
      <c r="W200" s="514" t="s">
        <v>1613</v>
      </c>
      <c r="X200" s="514" t="s">
        <v>192</v>
      </c>
      <c r="Y200" s="514" t="s">
        <v>864</v>
      </c>
      <c r="Z200" s="515">
        <v>45817</v>
      </c>
      <c r="AA200" s="684" t="s">
        <v>1940</v>
      </c>
      <c r="AB200" s="515">
        <v>45821</v>
      </c>
      <c r="AC200" s="515">
        <v>45825</v>
      </c>
      <c r="AD200" s="514" t="s">
        <v>13</v>
      </c>
      <c r="AE200" s="514" t="s">
        <v>1914</v>
      </c>
      <c r="AF200" s="524" t="s">
        <v>387</v>
      </c>
      <c r="AG200" s="524" t="s">
        <v>1944</v>
      </c>
      <c r="AH200" s="524" t="s">
        <v>1883</v>
      </c>
      <c r="AI200" s="524" t="s">
        <v>1945</v>
      </c>
      <c r="AJ200" s="524" t="s">
        <v>197</v>
      </c>
      <c r="AK200" s="525">
        <v>45817</v>
      </c>
      <c r="AL200" s="525"/>
      <c r="AM200" s="525"/>
      <c r="AN200" s="526"/>
      <c r="AO200" s="526"/>
      <c r="AP200" s="526">
        <f t="shared" si="5"/>
        <v>0</v>
      </c>
      <c r="AQ200" s="527"/>
      <c r="AR200" s="527"/>
      <c r="AS200" s="528" t="s">
        <v>1686</v>
      </c>
      <c r="AT200" s="692">
        <v>2312112</v>
      </c>
      <c r="AU200" s="661">
        <f t="shared" ca="1" si="12"/>
        <v>45817.77549537037</v>
      </c>
      <c r="AV200" s="599" t="s">
        <v>2191</v>
      </c>
    </row>
    <row r="201" spans="1:48" s="273" customFormat="1" ht="18" customHeight="1">
      <c r="A201" s="257" t="s">
        <v>1394</v>
      </c>
      <c r="B201" s="257">
        <v>45817</v>
      </c>
      <c r="C201" s="691" t="s">
        <v>1903</v>
      </c>
      <c r="D201" s="258">
        <v>2</v>
      </c>
      <c r="E201" s="256" t="s">
        <v>1591</v>
      </c>
      <c r="F201" s="256" t="s">
        <v>1575</v>
      </c>
      <c r="G201" s="256" t="s">
        <v>1947</v>
      </c>
      <c r="H201" s="256" t="str">
        <f>IFERROR(VLOOKUP(C201,DATA!$A$11:$L$64,3,FALSE),"")</f>
        <v>FRESH MANGOSTEEN</v>
      </c>
      <c r="I201" s="315" t="s">
        <v>1946</v>
      </c>
      <c r="J201" s="315" t="s">
        <v>1947</v>
      </c>
      <c r="K201" s="315" t="s">
        <v>1948</v>
      </c>
      <c r="L201" s="261" t="s">
        <v>1394</v>
      </c>
      <c r="M201" s="262">
        <f>IFERROR(VLOOKUP(C201,DATA!$A$11:$L$71,4,FALSE),"")</f>
        <v>2</v>
      </c>
      <c r="N201" s="263">
        <f>IFERROR(VLOOKUP(C201,DATA!$A$11:$L$71,5,FALSE),"")</f>
        <v>1.8</v>
      </c>
      <c r="O201" s="263">
        <f>IFERROR(VLOOKUP(C201,DATA!$A$11:$L$71,6,FALSE),"")</f>
        <v>8.5</v>
      </c>
      <c r="P201" s="263">
        <f>IFERROR(VLOOKUP(C201,DATA!$A$11:$L$71,7,FALSE),"")</f>
        <v>7</v>
      </c>
      <c r="Q201" s="264">
        <f>IFERROR(VLOOKUP(C201,DATA!$A$11:$L$71,8,FALSE),"")</f>
        <v>2400</v>
      </c>
      <c r="R201" s="265" t="str">
        <f>IFERROR(VLOOKUP(C201,DATA!$A$11:$L$71,9,FALSE),"")</f>
        <v>PLASTIC BASKETS</v>
      </c>
      <c r="S201" s="698">
        <v>10</v>
      </c>
      <c r="T201" s="688" t="s">
        <v>890</v>
      </c>
      <c r="U201" s="259" t="str">
        <f>IFERROR(VLOOKUP(C201,DATA!$A$11:$L$71,12,FALSE),"")</f>
        <v>BEIJING JUNYAO INTERNATIONAL</v>
      </c>
      <c r="V201" s="256" t="s">
        <v>1525</v>
      </c>
      <c r="W201" s="256" t="s">
        <v>1613</v>
      </c>
      <c r="X201" s="256" t="s">
        <v>192</v>
      </c>
      <c r="Y201" s="256" t="s">
        <v>864</v>
      </c>
      <c r="Z201" s="257">
        <v>45817</v>
      </c>
      <c r="AA201" s="689" t="s">
        <v>1940</v>
      </c>
      <c r="AB201" s="257">
        <v>45821</v>
      </c>
      <c r="AC201" s="257">
        <v>45825</v>
      </c>
      <c r="AD201" s="704" t="s">
        <v>13</v>
      </c>
      <c r="AE201" s="256" t="s">
        <v>1914</v>
      </c>
      <c r="AF201" s="269" t="s">
        <v>387</v>
      </c>
      <c r="AG201" s="269" t="s">
        <v>1949</v>
      </c>
      <c r="AH201" s="269" t="s">
        <v>1595</v>
      </c>
      <c r="AI201" s="269" t="s">
        <v>1950</v>
      </c>
      <c r="AJ201" s="269" t="s">
        <v>197</v>
      </c>
      <c r="AK201" s="270">
        <v>45817</v>
      </c>
      <c r="AL201" s="270"/>
      <c r="AM201" s="270"/>
      <c r="AN201" s="271"/>
      <c r="AO201" s="271"/>
      <c r="AP201" s="271">
        <f t="shared" si="5"/>
        <v>0</v>
      </c>
      <c r="AQ201" s="272"/>
      <c r="AR201" s="272"/>
      <c r="AS201" s="273" t="s">
        <v>1686</v>
      </c>
      <c r="AT201" s="613">
        <v>2312147</v>
      </c>
      <c r="AU201" s="690">
        <f t="shared" ca="1" si="12"/>
        <v>45817.787235648146</v>
      </c>
      <c r="AV201" s="591" t="s">
        <v>2193</v>
      </c>
    </row>
    <row r="202" spans="1:48" s="678" customFormat="1" ht="18" customHeight="1">
      <c r="A202" s="662" t="s">
        <v>1395</v>
      </c>
      <c r="B202" s="663">
        <v>45817</v>
      </c>
      <c r="C202" s="662" t="s">
        <v>1444</v>
      </c>
      <c r="D202" s="664">
        <v>13</v>
      </c>
      <c r="E202" s="665" t="s">
        <v>1545</v>
      </c>
      <c r="F202" s="662" t="s">
        <v>1546</v>
      </c>
      <c r="G202" s="664" t="s">
        <v>1952</v>
      </c>
      <c r="H202" s="662" t="str">
        <f>IFERROR(VLOOKUP(C202,DATA!$A$11:$L$64,3,FALSE),"")</f>
        <v>FRESH MANGOSTEEN</v>
      </c>
      <c r="I202" s="666" t="s">
        <v>1951</v>
      </c>
      <c r="J202" s="666" t="s">
        <v>1952</v>
      </c>
      <c r="K202" s="666" t="s">
        <v>1953</v>
      </c>
      <c r="L202" s="667" t="s">
        <v>1395</v>
      </c>
      <c r="M202" s="705">
        <v>2</v>
      </c>
      <c r="N202" s="701">
        <v>1.8</v>
      </c>
      <c r="O202" s="701">
        <v>8.5</v>
      </c>
      <c r="P202" s="701">
        <v>7</v>
      </c>
      <c r="Q202" s="697">
        <v>2550</v>
      </c>
      <c r="R202" s="668" t="str">
        <f>IFERROR(VLOOKUP(C202,DATA!$A$11:$L$71,9,FALSE),"")</f>
        <v>PLASTIC BASKETS</v>
      </c>
      <c r="S202" s="679">
        <v>10</v>
      </c>
      <c r="T202" s="669" t="str">
        <f>IFERROR(VLOOKUP(C202,DATA!$A$11:$L$71,11,FALSE),"")</f>
        <v>5%</v>
      </c>
      <c r="U202" s="670" t="str">
        <f>IFERROR(VLOOKUP(C202,DATA!$A$11:$L$71,12,FALSE),"")</f>
        <v>BEIJING JUNYAO INTERNATIONAL</v>
      </c>
      <c r="V202" s="662" t="s">
        <v>190</v>
      </c>
      <c r="W202" s="662" t="s">
        <v>686</v>
      </c>
      <c r="X202" s="662" t="s">
        <v>192</v>
      </c>
      <c r="Y202" s="662" t="s">
        <v>864</v>
      </c>
      <c r="Z202" s="663">
        <v>45817</v>
      </c>
      <c r="AA202" s="711" t="s">
        <v>1963</v>
      </c>
      <c r="AB202" s="710">
        <v>45821</v>
      </c>
      <c r="AC202" s="663">
        <v>45824</v>
      </c>
      <c r="AD202" s="665" t="s">
        <v>13</v>
      </c>
      <c r="AE202" s="662" t="s">
        <v>1914</v>
      </c>
      <c r="AF202" s="671" t="s">
        <v>387</v>
      </c>
      <c r="AG202" s="671" t="s">
        <v>1954</v>
      </c>
      <c r="AH202" s="671" t="s">
        <v>1955</v>
      </c>
      <c r="AI202" s="671" t="s">
        <v>1956</v>
      </c>
      <c r="AJ202" s="671" t="s">
        <v>197</v>
      </c>
      <c r="AK202" s="672">
        <v>45817</v>
      </c>
      <c r="AL202" s="672"/>
      <c r="AM202" s="672"/>
      <c r="AN202" s="696"/>
      <c r="AO202" s="696"/>
      <c r="AP202" s="673">
        <f t="shared" si="5"/>
        <v>0</v>
      </c>
      <c r="AQ202" s="674" t="str">
        <f>IFERROR(VLOOKUP(C202,DATA!A$54:$N96,13,0),"")</f>
        <v/>
      </c>
      <c r="AR202" s="674" t="str">
        <f>IFERROR(VLOOKUP(C202,DATA!A$54:$N96,14,0),"")</f>
        <v/>
      </c>
      <c r="AS202" s="551" t="s">
        <v>1669</v>
      </c>
      <c r="AT202" s="675">
        <v>2312166</v>
      </c>
      <c r="AU202" s="676">
        <f t="shared" ca="1" si="12"/>
        <v>45817.822584953705</v>
      </c>
      <c r="AV202" s="677" t="s">
        <v>2192</v>
      </c>
    </row>
    <row r="203" spans="1:48" s="678" customFormat="1" ht="18" customHeight="1">
      <c r="A203" s="662" t="s">
        <v>1396</v>
      </c>
      <c r="B203" s="663">
        <v>45817</v>
      </c>
      <c r="C203" s="662" t="s">
        <v>1444</v>
      </c>
      <c r="D203" s="664">
        <v>14</v>
      </c>
      <c r="E203" s="665" t="s">
        <v>1545</v>
      </c>
      <c r="F203" s="662" t="s">
        <v>1546</v>
      </c>
      <c r="G203" s="664" t="s">
        <v>1958</v>
      </c>
      <c r="H203" s="662" t="str">
        <f>IFERROR(VLOOKUP(C203,DATA!$A$11:$L$64,3,FALSE),"")</f>
        <v>FRESH MANGOSTEEN</v>
      </c>
      <c r="I203" s="666" t="s">
        <v>1957</v>
      </c>
      <c r="J203" s="666" t="s">
        <v>1958</v>
      </c>
      <c r="K203" s="666" t="s">
        <v>1959</v>
      </c>
      <c r="L203" s="667" t="s">
        <v>1396</v>
      </c>
      <c r="M203" s="707">
        <v>2</v>
      </c>
      <c r="N203" s="708">
        <v>1.8</v>
      </c>
      <c r="O203" s="708">
        <f>IFERROR(VLOOKUP(C203,DATA!$A$11:$L$71,6,FALSE),"")</f>
        <v>8.5</v>
      </c>
      <c r="P203" s="708">
        <f>IFERROR(VLOOKUP(C203,DATA!$A$11:$L$71,7,FALSE),"")</f>
        <v>7</v>
      </c>
      <c r="Q203" s="697">
        <v>2550</v>
      </c>
      <c r="R203" s="668" t="str">
        <f>IFERROR(VLOOKUP(C203,DATA!$A$11:$L$71,9,FALSE),"")</f>
        <v>PLASTIC BASKETS</v>
      </c>
      <c r="S203" s="709">
        <v>10</v>
      </c>
      <c r="T203" s="669" t="str">
        <f>IFERROR(VLOOKUP(C203,DATA!$A$11:$L$71,11,FALSE),"")</f>
        <v>5%</v>
      </c>
      <c r="U203" s="670" t="str">
        <f>IFERROR(VLOOKUP(C203,DATA!$A$11:$L$71,12,FALSE),"")</f>
        <v>BEIJING JUNYAO INTERNATIONAL</v>
      </c>
      <c r="V203" s="662" t="s">
        <v>190</v>
      </c>
      <c r="W203" s="662" t="s">
        <v>686</v>
      </c>
      <c r="X203" s="662" t="s">
        <v>192</v>
      </c>
      <c r="Y203" s="662" t="s">
        <v>864</v>
      </c>
      <c r="Z203" s="663">
        <v>45817</v>
      </c>
      <c r="AA203" s="711" t="s">
        <v>1963</v>
      </c>
      <c r="AB203" s="710">
        <v>45821</v>
      </c>
      <c r="AC203" s="663">
        <v>45824</v>
      </c>
      <c r="AD203" s="665" t="s">
        <v>13</v>
      </c>
      <c r="AE203" s="662" t="s">
        <v>1914</v>
      </c>
      <c r="AF203" s="671" t="s">
        <v>387</v>
      </c>
      <c r="AG203" s="671" t="s">
        <v>1960</v>
      </c>
      <c r="AH203" s="671" t="s">
        <v>1961</v>
      </c>
      <c r="AI203" s="671" t="s">
        <v>1962</v>
      </c>
      <c r="AJ203" s="671" t="s">
        <v>197</v>
      </c>
      <c r="AK203" s="672">
        <v>45817</v>
      </c>
      <c r="AL203" s="672"/>
      <c r="AM203" s="672"/>
      <c r="AN203" s="696"/>
      <c r="AO203" s="696"/>
      <c r="AP203" s="673">
        <f t="shared" si="5"/>
        <v>0</v>
      </c>
      <c r="AQ203" s="674" t="str">
        <f>IFERROR(VLOOKUP(C203,DATA!A$54:$N97,13,0),"")</f>
        <v/>
      </c>
      <c r="AR203" s="674" t="str">
        <f>IFERROR(VLOOKUP(C203,DATA!A$54:$N97,14,0),"")</f>
        <v/>
      </c>
      <c r="AS203" s="714" t="s">
        <v>1669</v>
      </c>
      <c r="AT203" s="675">
        <v>2312181</v>
      </c>
      <c r="AU203" s="676">
        <f t="shared" ca="1" si="12"/>
        <v>45817.831894097224</v>
      </c>
      <c r="AV203" s="677" t="s">
        <v>2193</v>
      </c>
    </row>
    <row r="204" spans="1:48" s="309" customFormat="1" ht="18" customHeight="1">
      <c r="A204" s="249" t="s">
        <v>1397</v>
      </c>
      <c r="B204" s="250">
        <v>45818</v>
      </c>
      <c r="C204" s="249" t="s">
        <v>1981</v>
      </c>
      <c r="D204" s="253">
        <v>1</v>
      </c>
      <c r="E204" s="249" t="s">
        <v>1630</v>
      </c>
      <c r="F204" s="249" t="s">
        <v>1631</v>
      </c>
      <c r="G204" s="253" t="s">
        <v>2009</v>
      </c>
      <c r="H204" s="249" t="str">
        <f>IFERROR(VLOOKUP(C204,DATA!$A$11:$L$64,3,FALSE),"")</f>
        <v>FRESH MANGOSTEEN</v>
      </c>
      <c r="I204" s="314" t="s">
        <v>1983</v>
      </c>
      <c r="J204" s="314" t="s">
        <v>2009</v>
      </c>
      <c r="K204" s="314" t="s">
        <v>2010</v>
      </c>
      <c r="L204" s="297" t="s">
        <v>1397</v>
      </c>
      <c r="M204" s="298">
        <v>1.88</v>
      </c>
      <c r="N204" s="366">
        <v>1.75</v>
      </c>
      <c r="O204" s="366">
        <v>16</v>
      </c>
      <c r="P204" s="366">
        <v>14</v>
      </c>
      <c r="Q204" s="313">
        <v>297</v>
      </c>
      <c r="R204" s="301" t="str">
        <f>IFERROR(VLOOKUP(C204,DATA!$A$11:$L$71,9,FALSE),"")</f>
        <v>PLASTIC BASKETS</v>
      </c>
      <c r="S204" s="720">
        <v>13</v>
      </c>
      <c r="T204" s="363" t="str">
        <f>IFERROR(VLOOKUP(C204,DATA!$A$11:$L$71,11,FALSE),"")</f>
        <v>5%</v>
      </c>
      <c r="U204" s="296" t="str">
        <f>IFERROR(VLOOKUP(C204,DATA!$A$11:$L$71,12,FALSE),"")</f>
        <v>BEST WEALTHY CORPORATION LIMITED</v>
      </c>
      <c r="V204" s="249" t="s">
        <v>1525</v>
      </c>
      <c r="W204" s="249" t="s">
        <v>1613</v>
      </c>
      <c r="X204" s="249" t="s">
        <v>192</v>
      </c>
      <c r="Y204" s="249" t="s">
        <v>864</v>
      </c>
      <c r="Z204" s="250">
        <v>45818</v>
      </c>
      <c r="AA204" s="364" t="s">
        <v>1984</v>
      </c>
      <c r="AB204" s="250">
        <v>45821</v>
      </c>
      <c r="AC204" s="250">
        <v>45825</v>
      </c>
      <c r="AD204" s="249" t="s">
        <v>1411</v>
      </c>
      <c r="AE204" s="249" t="s">
        <v>1914</v>
      </c>
      <c r="AF204" s="305" t="s">
        <v>387</v>
      </c>
      <c r="AG204" s="305" t="s">
        <v>1339</v>
      </c>
      <c r="AH204" s="305" t="s">
        <v>1340</v>
      </c>
      <c r="AI204" s="305" t="s">
        <v>2011</v>
      </c>
      <c r="AJ204" s="305" t="s">
        <v>197</v>
      </c>
      <c r="AK204" s="306">
        <v>45818</v>
      </c>
      <c r="AL204" s="306"/>
      <c r="AM204" s="306"/>
      <c r="AN204" s="712"/>
      <c r="AO204" s="712"/>
      <c r="AP204" s="307">
        <f t="shared" si="5"/>
        <v>0</v>
      </c>
      <c r="AQ204" s="308"/>
      <c r="AR204" s="308"/>
      <c r="AS204" s="544" t="s">
        <v>1669</v>
      </c>
      <c r="AT204" s="614" t="s">
        <v>1987</v>
      </c>
      <c r="AU204" s="713">
        <f t="shared" ca="1" si="12"/>
        <v>45818.454515277779</v>
      </c>
      <c r="AV204" s="592" t="s">
        <v>2194</v>
      </c>
    </row>
    <row r="205" spans="1:48" s="583" customFormat="1" ht="18" customHeight="1">
      <c r="A205" s="566" t="s">
        <v>1398</v>
      </c>
      <c r="B205" s="567">
        <v>45818</v>
      </c>
      <c r="C205" s="566" t="s">
        <v>1642</v>
      </c>
      <c r="D205" s="568">
        <v>6</v>
      </c>
      <c r="E205" s="566" t="s">
        <v>1630</v>
      </c>
      <c r="F205" s="566" t="s">
        <v>1631</v>
      </c>
      <c r="G205" s="568" t="s">
        <v>1738</v>
      </c>
      <c r="H205" s="566" t="str">
        <f>IFERROR(VLOOKUP(C205,DATA!$A$11:$L$623,3,FALSE),"")</f>
        <v>FRESH MANGOSTEEN</v>
      </c>
      <c r="I205" s="569" t="s">
        <v>1985</v>
      </c>
      <c r="J205" s="569" t="s">
        <v>2000</v>
      </c>
      <c r="K205" s="569" t="s">
        <v>2001</v>
      </c>
      <c r="L205" s="570" t="s">
        <v>1398</v>
      </c>
      <c r="M205" s="680">
        <v>39</v>
      </c>
      <c r="N205" s="718">
        <v>1.1000000000000001</v>
      </c>
      <c r="O205" s="718">
        <v>16</v>
      </c>
      <c r="P205" s="718">
        <v>14</v>
      </c>
      <c r="Q205" s="732">
        <v>1350</v>
      </c>
      <c r="R205" s="574" t="str">
        <f>IFERROR(VLOOKUP(C205,DATA!$A$11:$L$71,9,FALSE),"")</f>
        <v>PLASTIC BASKETS</v>
      </c>
      <c r="S205" s="719">
        <v>13</v>
      </c>
      <c r="T205" s="576" t="str">
        <f>IFERROR(VLOOKUP(C205,DATA!$A$11:$L$71,11,FALSE),"")</f>
        <v>5%</v>
      </c>
      <c r="U205" s="577" t="str">
        <f>IFERROR(VLOOKUP(C205,DATA!$A$11:$L$71,12,FALSE),"")</f>
        <v>GUOSHEN(JIANGSU) INTERNATIONAL TRADE CO., LTD</v>
      </c>
      <c r="V205" s="566" t="s">
        <v>1525</v>
      </c>
      <c r="W205" s="566" t="s">
        <v>1613</v>
      </c>
      <c r="X205" s="566" t="s">
        <v>192</v>
      </c>
      <c r="Y205" s="566" t="s">
        <v>231</v>
      </c>
      <c r="Z205" s="567">
        <v>45818</v>
      </c>
      <c r="AA205" s="584" t="s">
        <v>1984</v>
      </c>
      <c r="AB205" s="782">
        <v>45823</v>
      </c>
      <c r="AC205" s="567">
        <v>45826</v>
      </c>
      <c r="AD205" s="566" t="s">
        <v>13</v>
      </c>
      <c r="AE205" s="566" t="s">
        <v>1986</v>
      </c>
      <c r="AF205" s="578" t="s">
        <v>387</v>
      </c>
      <c r="AG205" s="578" t="s">
        <v>1878</v>
      </c>
      <c r="AH205" s="578" t="s">
        <v>1879</v>
      </c>
      <c r="AI205" s="578" t="s">
        <v>1880</v>
      </c>
      <c r="AJ205" s="578" t="s">
        <v>197</v>
      </c>
      <c r="AK205" s="579">
        <v>45818</v>
      </c>
      <c r="AL205" s="579"/>
      <c r="AM205" s="579"/>
      <c r="AN205" s="693"/>
      <c r="AO205" s="693"/>
      <c r="AP205" s="580">
        <f t="shared" ref="AP205" si="13">AN205+AO205</f>
        <v>0</v>
      </c>
      <c r="AQ205" s="581"/>
      <c r="AR205" s="581"/>
      <c r="AS205" s="582" t="s">
        <v>1669</v>
      </c>
      <c r="AT205" s="694">
        <v>2313342</v>
      </c>
      <c r="AU205" s="601">
        <f t="shared" ref="AU205" ca="1" si="14">IF(E205&lt;&gt;"",IF(AU205="",NOW(),AU205),"")</f>
        <v>45818.489630671298</v>
      </c>
      <c r="AV205" s="600" t="s">
        <v>2194</v>
      </c>
    </row>
    <row r="206" spans="1:48" s="583" customFormat="1" ht="18" customHeight="1">
      <c r="A206" s="566" t="s">
        <v>1964</v>
      </c>
      <c r="B206" s="567">
        <v>45818</v>
      </c>
      <c r="C206" s="566" t="s">
        <v>1642</v>
      </c>
      <c r="D206" s="568">
        <v>7</v>
      </c>
      <c r="E206" s="566" t="s">
        <v>1630</v>
      </c>
      <c r="F206" s="566" t="s">
        <v>1631</v>
      </c>
      <c r="G206" s="568" t="s">
        <v>1738</v>
      </c>
      <c r="H206" s="566" t="str">
        <f>IFERROR(VLOOKUP(C206,DATA!$A$11:$L$623,3,FALSE),"")</f>
        <v>FRESH MANGOSTEEN</v>
      </c>
      <c r="I206" s="569" t="s">
        <v>1996</v>
      </c>
      <c r="J206" s="569" t="s">
        <v>2002</v>
      </c>
      <c r="K206" s="569" t="s">
        <v>2003</v>
      </c>
      <c r="L206" s="570" t="s">
        <v>1964</v>
      </c>
      <c r="M206" s="680">
        <v>58</v>
      </c>
      <c r="N206" s="718">
        <v>1.6</v>
      </c>
      <c r="O206" s="572">
        <f>IFERROR(VLOOKUP(C206,DATA!$A$11:$L$71,6,FALSE),"")</f>
        <v>8.3000000000000007</v>
      </c>
      <c r="P206" s="572">
        <f>IFERROR(VLOOKUP(C206,DATA!$A$11:$L$71,7,FALSE),"")</f>
        <v>7</v>
      </c>
      <c r="Q206" s="573">
        <f>IFERROR(VLOOKUP(C206,DATA!$A$11:$L$71,8,FALSE),"")</f>
        <v>2400</v>
      </c>
      <c r="R206" s="574" t="str">
        <f>IFERROR(VLOOKUP(C206,DATA!$A$11:$L$71,9,FALSE),"")</f>
        <v>PLASTIC BASKETS</v>
      </c>
      <c r="S206" s="575">
        <f>IFERROR(VLOOKUP(C206,DATA!$A$11:$L$71,10,FALSE),"")</f>
        <v>12</v>
      </c>
      <c r="T206" s="576" t="str">
        <f>IFERROR(VLOOKUP(C206,DATA!$A$11:$L$71,11,FALSE),"")</f>
        <v>5%</v>
      </c>
      <c r="U206" s="577" t="str">
        <f>IFERROR(VLOOKUP(C206,DATA!$A$11:$L$71,12,FALSE),"")</f>
        <v>GUOSHEN(JIANGSU) INTERNATIONAL TRADE CO., LTD</v>
      </c>
      <c r="V206" s="566" t="s">
        <v>1525</v>
      </c>
      <c r="W206" s="566" t="s">
        <v>1613</v>
      </c>
      <c r="X206" s="566" t="s">
        <v>192</v>
      </c>
      <c r="Y206" s="566" t="s">
        <v>231</v>
      </c>
      <c r="Z206" s="567">
        <v>45818</v>
      </c>
      <c r="AA206" s="584" t="s">
        <v>1984</v>
      </c>
      <c r="AB206" s="567">
        <v>45822</v>
      </c>
      <c r="AC206" s="567">
        <v>45826</v>
      </c>
      <c r="AD206" s="566" t="s">
        <v>13</v>
      </c>
      <c r="AE206" s="566" t="s">
        <v>1986</v>
      </c>
      <c r="AF206" s="578" t="s">
        <v>387</v>
      </c>
      <c r="AG206" s="574" t="s">
        <v>2004</v>
      </c>
      <c r="AH206" s="574" t="s">
        <v>2005</v>
      </c>
      <c r="AI206" s="574" t="s">
        <v>2006</v>
      </c>
      <c r="AJ206" s="574" t="s">
        <v>197</v>
      </c>
      <c r="AK206" s="716">
        <v>45818</v>
      </c>
      <c r="AL206" s="716"/>
      <c r="AM206" s="716"/>
      <c r="AN206" s="717"/>
      <c r="AO206" s="717"/>
      <c r="AP206" s="576"/>
      <c r="AQ206" s="581"/>
      <c r="AR206" s="581"/>
      <c r="AS206" s="582" t="s">
        <v>1669</v>
      </c>
      <c r="AT206" s="694">
        <v>2313346</v>
      </c>
      <c r="AU206" s="601">
        <f ca="1">IF(E206&lt;&gt;"",IF(AU206="",NOW(),AU206),"")</f>
        <v>45818.536022800923</v>
      </c>
      <c r="AV206" s="600" t="s">
        <v>2195</v>
      </c>
    </row>
    <row r="207" spans="1:48" s="273" customFormat="1" ht="18" customHeight="1">
      <c r="A207" s="257" t="s">
        <v>1965</v>
      </c>
      <c r="B207" s="257">
        <v>45818</v>
      </c>
      <c r="C207" s="691" t="s">
        <v>1903</v>
      </c>
      <c r="D207" s="258">
        <v>3</v>
      </c>
      <c r="E207" s="256" t="s">
        <v>1591</v>
      </c>
      <c r="F207" s="256" t="s">
        <v>1575</v>
      </c>
      <c r="G207" s="256" t="s">
        <v>2007</v>
      </c>
      <c r="H207" s="256" t="str">
        <f>IFERROR(VLOOKUP(C207,DATA!$A$11:$L$64,3,FALSE),"")</f>
        <v>FRESH MANGOSTEEN</v>
      </c>
      <c r="I207" s="315" t="s">
        <v>1997</v>
      </c>
      <c r="J207" s="315" t="s">
        <v>2007</v>
      </c>
      <c r="K207" s="315" t="s">
        <v>2008</v>
      </c>
      <c r="L207" s="261" t="s">
        <v>1965</v>
      </c>
      <c r="M207" s="262">
        <f>IFERROR(VLOOKUP(C207,DATA!$A$11:$L$71,4,FALSE),"")</f>
        <v>2</v>
      </c>
      <c r="N207" s="263">
        <f>IFERROR(VLOOKUP(C207,DATA!$A$11:$L$71,5,FALSE),"")</f>
        <v>1.8</v>
      </c>
      <c r="O207" s="263">
        <f>IFERROR(VLOOKUP(C207,DATA!$A$11:$L$71,6,FALSE),"")</f>
        <v>8.5</v>
      </c>
      <c r="P207" s="263">
        <f>IFERROR(VLOOKUP(C207,DATA!$A$11:$L$71,7,FALSE),"")</f>
        <v>7</v>
      </c>
      <c r="Q207" s="311">
        <v>2400</v>
      </c>
      <c r="R207" s="265" t="str">
        <f>IFERROR(VLOOKUP(C207,DATA!$A$11:$L$71,9,FALSE),"")</f>
        <v>PLASTIC BASKETS</v>
      </c>
      <c r="S207" s="698">
        <v>10</v>
      </c>
      <c r="T207" s="688" t="s">
        <v>890</v>
      </c>
      <c r="U207" s="259" t="str">
        <f>IFERROR(VLOOKUP(C207,DATA!$A$11:$L$71,12,FALSE),"")</f>
        <v>BEIJING JUNYAO INTERNATIONAL</v>
      </c>
      <c r="V207" s="256" t="s">
        <v>1525</v>
      </c>
      <c r="W207" s="256" t="s">
        <v>1408</v>
      </c>
      <c r="X207" s="256" t="s">
        <v>192</v>
      </c>
      <c r="Y207" s="256" t="s">
        <v>1233</v>
      </c>
      <c r="Z207" s="257">
        <v>45818</v>
      </c>
      <c r="AA207" s="689" t="s">
        <v>1999</v>
      </c>
      <c r="AB207" s="257">
        <v>45821</v>
      </c>
      <c r="AC207" s="257">
        <v>45825</v>
      </c>
      <c r="AD207" s="704" t="s">
        <v>24</v>
      </c>
      <c r="AE207" s="256" t="s">
        <v>1998</v>
      </c>
      <c r="AF207" s="269" t="s">
        <v>387</v>
      </c>
      <c r="AG207" s="269" t="s">
        <v>1505</v>
      </c>
      <c r="AH207" s="269" t="s">
        <v>1506</v>
      </c>
      <c r="AI207" s="269" t="s">
        <v>1507</v>
      </c>
      <c r="AJ207" s="269" t="s">
        <v>197</v>
      </c>
      <c r="AK207" s="270">
        <v>45818</v>
      </c>
      <c r="AL207" s="270"/>
      <c r="AM207" s="270"/>
      <c r="AN207" s="271"/>
      <c r="AO207" s="271"/>
      <c r="AP207" s="271"/>
      <c r="AQ207" s="272"/>
      <c r="AR207" s="272"/>
      <c r="AS207" s="273" t="s">
        <v>1669</v>
      </c>
      <c r="AT207" s="613">
        <v>2313434</v>
      </c>
      <c r="AU207" s="690">
        <f t="shared" ref="AU207:AU259" ca="1" si="15">IF(E207&lt;&gt;"",IF(AU207="",NOW(),AU207),"")</f>
        <v>45818.536022800923</v>
      </c>
      <c r="AV207" s="591" t="s">
        <v>2196</v>
      </c>
    </row>
    <row r="208" spans="1:48" s="678" customFormat="1" ht="18" customHeight="1">
      <c r="A208" s="662" t="s">
        <v>1966</v>
      </c>
      <c r="B208" s="663">
        <v>45819</v>
      </c>
      <c r="C208" s="662" t="s">
        <v>1444</v>
      </c>
      <c r="D208" s="664">
        <v>15</v>
      </c>
      <c r="E208" s="665" t="s">
        <v>1545</v>
      </c>
      <c r="F208" s="662" t="s">
        <v>1546</v>
      </c>
      <c r="G208" s="664" t="s">
        <v>2018</v>
      </c>
      <c r="H208" s="662" t="str">
        <f>IFERROR(VLOOKUP(C208,DATA!$A$11:$L$64,3,FALSE),"")</f>
        <v>FRESH MANGOSTEEN</v>
      </c>
      <c r="I208" s="666" t="s">
        <v>2013</v>
      </c>
      <c r="J208" s="666" t="s">
        <v>2018</v>
      </c>
      <c r="K208" s="666" t="s">
        <v>2019</v>
      </c>
      <c r="L208" s="667" t="s">
        <v>1966</v>
      </c>
      <c r="M208" s="707">
        <v>2</v>
      </c>
      <c r="N208" s="708">
        <v>1.8</v>
      </c>
      <c r="O208" s="708">
        <f>IFERROR(VLOOKUP(C208,DATA!$A$11:$L$71,6,FALSE),"")</f>
        <v>8.5</v>
      </c>
      <c r="P208" s="708">
        <f>IFERROR(VLOOKUP(C208,DATA!$A$11:$L$71,7,FALSE),"")</f>
        <v>7</v>
      </c>
      <c r="Q208" s="697">
        <v>2550</v>
      </c>
      <c r="R208" s="668" t="str">
        <f>IFERROR(VLOOKUP(C208,DATA!$A$11:$L$71,9,FALSE),"")</f>
        <v>PLASTIC BASKETS</v>
      </c>
      <c r="S208" s="709">
        <v>10</v>
      </c>
      <c r="T208" s="669" t="str">
        <f>IFERROR(VLOOKUP(C208,DATA!$A$11:$L$71,11,FALSE),"")</f>
        <v>5%</v>
      </c>
      <c r="U208" s="670" t="str">
        <f>IFERROR(VLOOKUP(C208,DATA!$A$11:$L$71,12,FALSE),"")</f>
        <v>BEIJING JUNYAO INTERNATIONAL</v>
      </c>
      <c r="V208" s="662" t="s">
        <v>190</v>
      </c>
      <c r="W208" s="662" t="s">
        <v>884</v>
      </c>
      <c r="X208" s="662" t="s">
        <v>192</v>
      </c>
      <c r="Y208" s="662" t="s">
        <v>571</v>
      </c>
      <c r="Z208" s="663">
        <v>45819</v>
      </c>
      <c r="AA208" s="683" t="s">
        <v>2015</v>
      </c>
      <c r="AB208" s="663">
        <v>45822</v>
      </c>
      <c r="AC208" s="663">
        <v>45826</v>
      </c>
      <c r="AD208" s="662" t="s">
        <v>13</v>
      </c>
      <c r="AE208" s="662" t="s">
        <v>2014</v>
      </c>
      <c r="AF208" s="668" t="s">
        <v>387</v>
      </c>
      <c r="AG208" s="668" t="s">
        <v>1749</v>
      </c>
      <c r="AH208" s="668" t="s">
        <v>1750</v>
      </c>
      <c r="AI208" s="668" t="s">
        <v>1751</v>
      </c>
      <c r="AJ208" s="668" t="s">
        <v>197</v>
      </c>
      <c r="AK208" s="721">
        <v>45819</v>
      </c>
      <c r="AL208" s="721"/>
      <c r="AM208" s="721"/>
      <c r="AN208" s="722"/>
      <c r="AO208" s="722"/>
      <c r="AP208" s="669"/>
      <c r="AQ208" s="674"/>
      <c r="AR208" s="674"/>
      <c r="AS208" s="714" t="s">
        <v>1669</v>
      </c>
      <c r="AT208" s="675" t="s">
        <v>2017</v>
      </c>
      <c r="AU208" s="676">
        <f t="shared" ca="1" si="15"/>
        <v>45819.51166851852</v>
      </c>
      <c r="AV208" s="677" t="s">
        <v>2197</v>
      </c>
    </row>
    <row r="209" spans="1:48" s="678" customFormat="1" ht="18" customHeight="1">
      <c r="A209" s="662" t="s">
        <v>1967</v>
      </c>
      <c r="B209" s="663">
        <v>45819</v>
      </c>
      <c r="C209" s="662" t="s">
        <v>1444</v>
      </c>
      <c r="D209" s="664">
        <v>16</v>
      </c>
      <c r="E209" s="665" t="s">
        <v>1545</v>
      </c>
      <c r="F209" s="662" t="s">
        <v>1546</v>
      </c>
      <c r="G209" s="664" t="s">
        <v>2020</v>
      </c>
      <c r="H209" s="662" t="str">
        <f>IFERROR(VLOOKUP(C209,DATA!$A$11:$L$64,3,FALSE),"")</f>
        <v>FRESH MANGOSTEEN</v>
      </c>
      <c r="I209" s="666" t="s">
        <v>2016</v>
      </c>
      <c r="J209" s="666" t="s">
        <v>2020</v>
      </c>
      <c r="K209" s="666" t="s">
        <v>2021</v>
      </c>
      <c r="L209" s="667" t="s">
        <v>1967</v>
      </c>
      <c r="M209" s="707">
        <v>2</v>
      </c>
      <c r="N209" s="708">
        <v>1.8</v>
      </c>
      <c r="O209" s="708">
        <f>IFERROR(VLOOKUP(C209,DATA!$A$11:$L$71,6,FALSE),"")</f>
        <v>8.5</v>
      </c>
      <c r="P209" s="708">
        <f>IFERROR(VLOOKUP(C209,DATA!$A$11:$L$71,7,FALSE),"")</f>
        <v>7</v>
      </c>
      <c r="Q209" s="697">
        <v>2550</v>
      </c>
      <c r="R209" s="668" t="str">
        <f>IFERROR(VLOOKUP(C209,DATA!$A$11:$L$71,9,FALSE),"")</f>
        <v>PLASTIC BASKETS</v>
      </c>
      <c r="S209" s="709">
        <v>10</v>
      </c>
      <c r="T209" s="669" t="str">
        <f>IFERROR(VLOOKUP(C209,DATA!$A$11:$L$71,11,FALSE),"")</f>
        <v>5%</v>
      </c>
      <c r="U209" s="670" t="str">
        <f>IFERROR(VLOOKUP(C209,DATA!$A$11:$L$71,12,FALSE),"")</f>
        <v>BEIJING JUNYAO INTERNATIONAL</v>
      </c>
      <c r="V209" s="662" t="s">
        <v>190</v>
      </c>
      <c r="W209" s="662" t="s">
        <v>686</v>
      </c>
      <c r="X209" s="662" t="s">
        <v>192</v>
      </c>
      <c r="Y209" s="662" t="s">
        <v>212</v>
      </c>
      <c r="Z209" s="663">
        <v>45819</v>
      </c>
      <c r="AA209" s="683" t="s">
        <v>2015</v>
      </c>
      <c r="AB209" s="663">
        <v>45823</v>
      </c>
      <c r="AC209" s="663">
        <v>45827</v>
      </c>
      <c r="AD209" s="662" t="s">
        <v>13</v>
      </c>
      <c r="AE209" s="662" t="s">
        <v>1986</v>
      </c>
      <c r="AF209" s="668" t="s">
        <v>387</v>
      </c>
      <c r="AG209" s="668" t="s">
        <v>1594</v>
      </c>
      <c r="AH209" s="668" t="s">
        <v>1595</v>
      </c>
      <c r="AI209" s="668" t="s">
        <v>1950</v>
      </c>
      <c r="AJ209" s="668" t="s">
        <v>197</v>
      </c>
      <c r="AK209" s="721">
        <v>45819</v>
      </c>
      <c r="AL209" s="721"/>
      <c r="AM209" s="721"/>
      <c r="AN209" s="722"/>
      <c r="AO209" s="722"/>
      <c r="AP209" s="669"/>
      <c r="AQ209" s="674"/>
      <c r="AR209" s="674"/>
      <c r="AS209" s="714" t="s">
        <v>1669</v>
      </c>
      <c r="AT209" s="675">
        <v>2315529</v>
      </c>
      <c r="AU209" s="676">
        <f t="shared" ca="1" si="15"/>
        <v>45819.517020833337</v>
      </c>
      <c r="AV209" s="677" t="s">
        <v>2198</v>
      </c>
    </row>
    <row r="210" spans="1:48" s="273" customFormat="1" ht="18" customHeight="1">
      <c r="A210" s="256" t="s">
        <v>1968</v>
      </c>
      <c r="B210" s="257">
        <v>45819</v>
      </c>
      <c r="C210" s="691" t="s">
        <v>1903</v>
      </c>
      <c r="D210" s="258">
        <v>4</v>
      </c>
      <c r="E210" s="256" t="s">
        <v>1591</v>
      </c>
      <c r="F210" s="256" t="s">
        <v>1575</v>
      </c>
      <c r="G210" s="258" t="s">
        <v>2023</v>
      </c>
      <c r="H210" s="256" t="str">
        <f>IFERROR(VLOOKUP(C210,DATA!$A$11:$L$64,3,FALSE),"")</f>
        <v>FRESH MANGOSTEEN</v>
      </c>
      <c r="I210" s="315" t="s">
        <v>2022</v>
      </c>
      <c r="J210" s="315" t="s">
        <v>2023</v>
      </c>
      <c r="K210" s="315" t="s">
        <v>2024</v>
      </c>
      <c r="L210" s="261" t="s">
        <v>1968</v>
      </c>
      <c r="M210" s="262">
        <f>IFERROR(VLOOKUP(C210,DATA!$A$11:$L$71,4,FALSE),"")</f>
        <v>2</v>
      </c>
      <c r="N210" s="263">
        <f>IFERROR(VLOOKUP(C210,DATA!$A$11:$L$71,5,FALSE),"")</f>
        <v>1.8</v>
      </c>
      <c r="O210" s="263">
        <f>IFERROR(VLOOKUP(C210,DATA!$A$11:$L$71,6,FALSE),"")</f>
        <v>8.5</v>
      </c>
      <c r="P210" s="263">
        <f>IFERROR(VLOOKUP(C210,DATA!$A$11:$L$71,7,FALSE),"")</f>
        <v>7</v>
      </c>
      <c r="Q210" s="311">
        <v>1872</v>
      </c>
      <c r="R210" s="265" t="str">
        <f>IFERROR(VLOOKUP(C210,DATA!$A$11:$L$71,9,FALSE),"")</f>
        <v>PLASTIC BASKETS</v>
      </c>
      <c r="S210" s="266">
        <f>IFERROR(VLOOKUP(C210,DATA!$A$11:$L$71,10,FALSE),"")</f>
        <v>10</v>
      </c>
      <c r="T210" s="267" t="str">
        <f>IFERROR(VLOOKUP(C210,DATA!$A$11:$L$71,11,FALSE),"")</f>
        <v>10%</v>
      </c>
      <c r="U210" s="259" t="str">
        <f>IFERROR(VLOOKUP(C210,DATA!$A$11:$L$71,12,FALSE),"")</f>
        <v>BEIJING JUNYAO INTERNATIONAL</v>
      </c>
      <c r="V210" s="256" t="s">
        <v>1525</v>
      </c>
      <c r="W210" s="256" t="s">
        <v>1408</v>
      </c>
      <c r="X210" s="256" t="s">
        <v>192</v>
      </c>
      <c r="Y210" s="256" t="s">
        <v>212</v>
      </c>
      <c r="Z210" s="257">
        <v>45819</v>
      </c>
      <c r="AA210" s="689" t="s">
        <v>2015</v>
      </c>
      <c r="AB210" s="257">
        <v>45823</v>
      </c>
      <c r="AC210" s="257">
        <v>45827</v>
      </c>
      <c r="AD210" s="256" t="s">
        <v>13</v>
      </c>
      <c r="AE210" s="256" t="s">
        <v>1986</v>
      </c>
      <c r="AF210" s="265" t="s">
        <v>387</v>
      </c>
      <c r="AG210" s="265" t="s">
        <v>1889</v>
      </c>
      <c r="AH210" s="265" t="s">
        <v>1890</v>
      </c>
      <c r="AI210" s="265" t="s">
        <v>1891</v>
      </c>
      <c r="AJ210" s="269" t="s">
        <v>197</v>
      </c>
      <c r="AK210" s="723">
        <v>45819</v>
      </c>
      <c r="AL210" s="723"/>
      <c r="AM210" s="723"/>
      <c r="AN210" s="724"/>
      <c r="AO210" s="724"/>
      <c r="AP210" s="267"/>
      <c r="AQ210" s="272"/>
      <c r="AR210" s="272"/>
      <c r="AS210" s="273" t="s">
        <v>1669</v>
      </c>
      <c r="AT210" s="613">
        <v>2316411</v>
      </c>
      <c r="AU210" s="690">
        <f t="shared" ca="1" si="15"/>
        <v>45819.767959722223</v>
      </c>
      <c r="AV210" s="591" t="s">
        <v>2199</v>
      </c>
    </row>
    <row r="211" spans="1:48" s="583" customFormat="1" ht="18" customHeight="1">
      <c r="A211" s="695" t="s">
        <v>1969</v>
      </c>
      <c r="B211" s="567">
        <v>45820</v>
      </c>
      <c r="C211" s="566" t="s">
        <v>1642</v>
      </c>
      <c r="D211" s="568">
        <v>8</v>
      </c>
      <c r="E211" s="566" t="s">
        <v>1630</v>
      </c>
      <c r="F211" s="566" t="s">
        <v>1631</v>
      </c>
      <c r="G211" s="568" t="s">
        <v>1738</v>
      </c>
      <c r="H211" s="566" t="str">
        <f>IFERROR(VLOOKUP(C211,DATA!$A$11:$L$64,3,FALSE),"")</f>
        <v>FRESH MANGOSTEEN</v>
      </c>
      <c r="I211" s="726">
        <v>7260309860</v>
      </c>
      <c r="J211" s="569" t="s">
        <v>2037</v>
      </c>
      <c r="K211" s="725">
        <v>30281314</v>
      </c>
      <c r="L211" s="570" t="s">
        <v>1969</v>
      </c>
      <c r="M211" s="680">
        <v>12.2</v>
      </c>
      <c r="N211" s="718">
        <v>1.54</v>
      </c>
      <c r="O211" s="572">
        <f>IFERROR(VLOOKUP(C211,DATA!$A$11:$L$71,6,FALSE),"")</f>
        <v>8.3000000000000007</v>
      </c>
      <c r="P211" s="572">
        <f>IFERROR(VLOOKUP(C211,DATA!$A$11:$L$71,7,FALSE),"")</f>
        <v>7</v>
      </c>
      <c r="Q211" s="573">
        <f>IFERROR(VLOOKUP(C211,DATA!$A$11:$L$71,8,FALSE),"")</f>
        <v>2400</v>
      </c>
      <c r="R211" s="574" t="str">
        <f>IFERROR(VLOOKUP(C211,DATA!$A$11:$L$71,9,FALSE),"")</f>
        <v>PLASTIC BASKETS</v>
      </c>
      <c r="S211" s="575">
        <f>IFERROR(VLOOKUP(C211,DATA!$A$11:$L$71,10,FALSE),"")</f>
        <v>12</v>
      </c>
      <c r="T211" s="576" t="str">
        <f>IFERROR(VLOOKUP(C211,DATA!$A$11:$L$71,11,FALSE),"")</f>
        <v>5%</v>
      </c>
      <c r="U211" s="577" t="str">
        <f>IFERROR(VLOOKUP(C211,DATA!$A$11:$L$71,12,FALSE),"")</f>
        <v>GUOSHEN(JIANGSU) INTERNATIONAL TRADE CO., LTD</v>
      </c>
      <c r="V211" s="566" t="s">
        <v>1525</v>
      </c>
      <c r="W211" s="566" t="s">
        <v>715</v>
      </c>
      <c r="X211" s="566" t="s">
        <v>192</v>
      </c>
      <c r="Y211" s="566" t="s">
        <v>231</v>
      </c>
      <c r="Z211" s="567">
        <v>45820</v>
      </c>
      <c r="AA211" s="584" t="s">
        <v>2032</v>
      </c>
      <c r="AB211" s="567">
        <v>45824</v>
      </c>
      <c r="AC211" s="567">
        <v>45828</v>
      </c>
      <c r="AD211" s="566" t="s">
        <v>24</v>
      </c>
      <c r="AE211" s="566" t="s">
        <v>2025</v>
      </c>
      <c r="AF211" s="578" t="s">
        <v>387</v>
      </c>
      <c r="AG211" s="574" t="s">
        <v>1508</v>
      </c>
      <c r="AH211" s="574" t="s">
        <v>2038</v>
      </c>
      <c r="AI211" s="574" t="s">
        <v>1887</v>
      </c>
      <c r="AJ211" s="574" t="s">
        <v>197</v>
      </c>
      <c r="AK211" s="716">
        <v>45820</v>
      </c>
      <c r="AL211" s="716"/>
      <c r="AM211" s="716"/>
      <c r="AN211" s="717"/>
      <c r="AO211" s="717"/>
      <c r="AP211" s="576"/>
      <c r="AQ211" s="581"/>
      <c r="AR211" s="581"/>
      <c r="AS211" s="582" t="s">
        <v>1669</v>
      </c>
      <c r="AT211" s="694">
        <v>2317168</v>
      </c>
      <c r="AU211" s="601">
        <f t="shared" ca="1" si="15"/>
        <v>45820.414778240738</v>
      </c>
      <c r="AV211" s="600" t="s">
        <v>2200</v>
      </c>
    </row>
    <row r="212" spans="1:48" s="583" customFormat="1" ht="18" customHeight="1">
      <c r="A212" s="695" t="s">
        <v>1970</v>
      </c>
      <c r="B212" s="567">
        <v>45820</v>
      </c>
      <c r="C212" s="566" t="s">
        <v>1642</v>
      </c>
      <c r="D212" s="568">
        <v>9</v>
      </c>
      <c r="E212" s="566" t="s">
        <v>1630</v>
      </c>
      <c r="F212" s="566" t="s">
        <v>1631</v>
      </c>
      <c r="G212" s="568" t="s">
        <v>1738</v>
      </c>
      <c r="H212" s="566" t="str">
        <f>IFERROR(VLOOKUP(C212,DATA!$A$11:$L$64,3,FALSE),"")</f>
        <v>FRESH MANGOSTEEN</v>
      </c>
      <c r="I212" s="725">
        <v>7260312200</v>
      </c>
      <c r="J212" s="569" t="s">
        <v>2026</v>
      </c>
      <c r="K212" s="731" t="s">
        <v>2036</v>
      </c>
      <c r="L212" s="570" t="s">
        <v>1970</v>
      </c>
      <c r="M212" s="680">
        <v>8.86</v>
      </c>
      <c r="N212" s="718">
        <v>1.1000000000000001</v>
      </c>
      <c r="O212" s="718">
        <v>16</v>
      </c>
      <c r="P212" s="718">
        <v>14</v>
      </c>
      <c r="Q212" s="732">
        <v>1350</v>
      </c>
      <c r="R212" s="574" t="str">
        <f>IFERROR(VLOOKUP(C212,DATA!$A$11:$L$71,9,FALSE),"")</f>
        <v>PLASTIC BASKETS</v>
      </c>
      <c r="S212" s="575">
        <f>IFERROR(VLOOKUP(C212,DATA!$A$11:$L$71,10,FALSE),"")</f>
        <v>12</v>
      </c>
      <c r="T212" s="576" t="str">
        <f>IFERROR(VLOOKUP(C212,DATA!$A$11:$L$71,11,FALSE),"")</f>
        <v>5%</v>
      </c>
      <c r="U212" s="577" t="str">
        <f>IFERROR(VLOOKUP(C212,DATA!$A$11:$L$71,12,FALSE),"")</f>
        <v>GUOSHEN(JIANGSU) INTERNATIONAL TRADE CO., LTD</v>
      </c>
      <c r="V212" s="566" t="s">
        <v>1525</v>
      </c>
      <c r="W212" s="566" t="s">
        <v>715</v>
      </c>
      <c r="X212" s="566" t="s">
        <v>192</v>
      </c>
      <c r="Y212" s="566" t="s">
        <v>231</v>
      </c>
      <c r="Z212" s="567">
        <v>45820</v>
      </c>
      <c r="AA212" s="584" t="s">
        <v>2032</v>
      </c>
      <c r="AB212" s="567">
        <v>45824</v>
      </c>
      <c r="AC212" s="567">
        <v>45828</v>
      </c>
      <c r="AD212" s="566" t="s">
        <v>24</v>
      </c>
      <c r="AE212" s="566" t="s">
        <v>2025</v>
      </c>
      <c r="AF212" s="578" t="s">
        <v>387</v>
      </c>
      <c r="AG212" s="574" t="s">
        <v>2027</v>
      </c>
      <c r="AH212" s="574" t="s">
        <v>2028</v>
      </c>
      <c r="AI212" s="574" t="s">
        <v>2029</v>
      </c>
      <c r="AJ212" s="574" t="s">
        <v>197</v>
      </c>
      <c r="AK212" s="716">
        <v>45820</v>
      </c>
      <c r="AL212" s="716"/>
      <c r="AM212" s="716"/>
      <c r="AN212" s="717"/>
      <c r="AO212" s="717"/>
      <c r="AP212" s="576"/>
      <c r="AQ212" s="581"/>
      <c r="AR212" s="581"/>
      <c r="AS212" s="582" t="s">
        <v>1669</v>
      </c>
      <c r="AT212" s="694">
        <v>2317169</v>
      </c>
      <c r="AU212" s="601">
        <f t="shared" ca="1" si="15"/>
        <v>45820.414796180557</v>
      </c>
      <c r="AV212" s="600" t="s">
        <v>2201</v>
      </c>
    </row>
    <row r="213" spans="1:48" s="273" customFormat="1" ht="18" customHeight="1">
      <c r="A213" s="256" t="s">
        <v>1971</v>
      </c>
      <c r="B213" s="257">
        <v>45820</v>
      </c>
      <c r="C213" s="691" t="s">
        <v>1903</v>
      </c>
      <c r="D213" s="258">
        <v>5</v>
      </c>
      <c r="E213" s="256" t="s">
        <v>1591</v>
      </c>
      <c r="F213" s="256" t="s">
        <v>1575</v>
      </c>
      <c r="G213" s="258" t="s">
        <v>2033</v>
      </c>
      <c r="H213" s="256" t="str">
        <f>IFERROR(VLOOKUP(C213,DATA!$A$11:$L$64,3,FALSE),"")</f>
        <v>FRESH MANGOSTEEN</v>
      </c>
      <c r="I213" s="727" t="s">
        <v>2030</v>
      </c>
      <c r="J213" s="315" t="s">
        <v>2033</v>
      </c>
      <c r="K213" s="315" t="s">
        <v>2034</v>
      </c>
      <c r="L213" s="261" t="s">
        <v>1971</v>
      </c>
      <c r="M213" s="262">
        <f>IFERROR(VLOOKUP(C213,DATA!$A$11:$L$71,4,FALSE),"")</f>
        <v>2</v>
      </c>
      <c r="N213" s="263">
        <f>IFERROR(VLOOKUP(C213,DATA!$A$11:$L$71,5,FALSE),"")</f>
        <v>1.8</v>
      </c>
      <c r="O213" s="263">
        <f>IFERROR(VLOOKUP(C213,DATA!$A$11:$L$71,6,FALSE),"")</f>
        <v>8.5</v>
      </c>
      <c r="P213" s="263">
        <f>IFERROR(VLOOKUP(C213,DATA!$A$11:$L$71,7,FALSE),"")</f>
        <v>7</v>
      </c>
      <c r="Q213" s="264">
        <f>IFERROR(VLOOKUP(C213,DATA!$A$11:$L$71,8,FALSE),"")</f>
        <v>2400</v>
      </c>
      <c r="R213" s="265" t="str">
        <f>IFERROR(VLOOKUP(C213,DATA!$A$11:$L$71,9,FALSE),"")</f>
        <v>PLASTIC BASKETS</v>
      </c>
      <c r="S213" s="266">
        <f>IFERROR(VLOOKUP(C213,DATA!$A$11:$L$71,10,FALSE),"")</f>
        <v>10</v>
      </c>
      <c r="T213" s="267" t="str">
        <f>IFERROR(VLOOKUP(C213,DATA!$A$11:$L$71,11,FALSE),"")</f>
        <v>10%</v>
      </c>
      <c r="U213" s="259" t="str">
        <f>IFERROR(VLOOKUP(C213,DATA!$A$11:$L$71,12,FALSE),"")</f>
        <v>BEIJING JUNYAO INTERNATIONAL</v>
      </c>
      <c r="V213" s="256" t="s">
        <v>1525</v>
      </c>
      <c r="W213" s="256" t="s">
        <v>884</v>
      </c>
      <c r="X213" s="256" t="s">
        <v>192</v>
      </c>
      <c r="Y213" s="256" t="s">
        <v>571</v>
      </c>
      <c r="Z213" s="257">
        <v>45820</v>
      </c>
      <c r="AA213" s="689" t="s">
        <v>2031</v>
      </c>
      <c r="AB213" s="257">
        <v>45824</v>
      </c>
      <c r="AC213" s="257">
        <v>45828</v>
      </c>
      <c r="AD213" s="256" t="s">
        <v>24</v>
      </c>
      <c r="AE213" s="256" t="s">
        <v>2014</v>
      </c>
      <c r="AF213" s="265" t="s">
        <v>387</v>
      </c>
      <c r="AG213" s="265" t="s">
        <v>1339</v>
      </c>
      <c r="AH213" s="265" t="s">
        <v>1340</v>
      </c>
      <c r="AI213" s="265" t="s">
        <v>2011</v>
      </c>
      <c r="AJ213" s="265" t="s">
        <v>197</v>
      </c>
      <c r="AK213" s="723">
        <v>45820</v>
      </c>
      <c r="AL213" s="723"/>
      <c r="AM213" s="723"/>
      <c r="AN213" s="724"/>
      <c r="AO213" s="724"/>
      <c r="AP213" s="267"/>
      <c r="AQ213" s="272"/>
      <c r="AR213" s="272"/>
      <c r="AS213" s="273" t="s">
        <v>1669</v>
      </c>
      <c r="AT213" s="613">
        <v>2318196</v>
      </c>
      <c r="AU213" s="690">
        <f t="shared" ca="1" si="15"/>
        <v>45820.621912731483</v>
      </c>
      <c r="AV213" s="591" t="s">
        <v>2202</v>
      </c>
    </row>
    <row r="214" spans="1:48" ht="18" customHeight="1">
      <c r="A214" s="6" t="s">
        <v>1972</v>
      </c>
      <c r="B214" s="60">
        <v>45820</v>
      </c>
      <c r="C214" s="729" t="s">
        <v>1562</v>
      </c>
      <c r="D214" s="30">
        <v>11</v>
      </c>
      <c r="E214" s="6" t="s">
        <v>1563</v>
      </c>
      <c r="F214" s="6" t="s">
        <v>1564</v>
      </c>
      <c r="G214" s="30" t="s">
        <v>2039</v>
      </c>
      <c r="H214" s="6" t="str">
        <f>IFERROR(VLOOKUP(C214,DATA!$A$11:$L$64,3,FALSE),"")</f>
        <v>FRESH MANGOSTEEN</v>
      </c>
      <c r="I214" s="24" t="s">
        <v>2035</v>
      </c>
      <c r="J214" s="7" t="s">
        <v>2039</v>
      </c>
      <c r="K214" s="7" t="s">
        <v>2040</v>
      </c>
      <c r="L214" s="62" t="s">
        <v>1972</v>
      </c>
      <c r="M214" s="191">
        <f>IFERROR(VLOOKUP(C214,DATA!$A$11:$L$71,4,FALSE),"")</f>
        <v>1.67</v>
      </c>
      <c r="N214" s="192">
        <f>IFERROR(VLOOKUP(C214,DATA!$A$11:$L$71,5,FALSE),"")</f>
        <v>1.55</v>
      </c>
      <c r="O214" s="192">
        <f>IFERROR(VLOOKUP(C214,DATA!$A$11:$L$71,6,FALSE),"")</f>
        <v>16</v>
      </c>
      <c r="P214" s="192">
        <f>IFERROR(VLOOKUP(C214,DATA!$A$11:$L$71,7,FALSE),"")</f>
        <v>14</v>
      </c>
      <c r="Q214" s="193">
        <f>IFERROR(VLOOKUP(C214,DATA!$A$11:$L$71,8,FALSE),"")</f>
        <v>1350</v>
      </c>
      <c r="R214" s="194" t="str">
        <f>IFERROR(VLOOKUP(C214,DATA!$A$11:$L$71,9,FALSE),"")</f>
        <v>PLASTIC BASKETS</v>
      </c>
      <c r="S214" s="506">
        <v>11</v>
      </c>
      <c r="T214" s="196" t="str">
        <f>IFERROR(VLOOKUP(C214,DATA!$A$11:$L$71,11,FALSE),"")</f>
        <v>5%</v>
      </c>
      <c r="U214" s="747" t="s">
        <v>1565</v>
      </c>
      <c r="V214" s="6" t="s">
        <v>1525</v>
      </c>
      <c r="W214" s="6" t="s">
        <v>1613</v>
      </c>
      <c r="X214" s="6" t="s">
        <v>192</v>
      </c>
      <c r="Y214" s="6" t="s">
        <v>212</v>
      </c>
      <c r="Z214" s="60">
        <v>45820</v>
      </c>
      <c r="AA214" s="318" t="s">
        <v>2015</v>
      </c>
      <c r="AB214" s="60">
        <v>45823</v>
      </c>
      <c r="AC214" s="60">
        <v>45827</v>
      </c>
      <c r="AD214" s="6" t="s">
        <v>13</v>
      </c>
      <c r="AE214" s="6" t="s">
        <v>1986</v>
      </c>
      <c r="AF214" s="194" t="s">
        <v>201</v>
      </c>
      <c r="AG214" s="194" t="s">
        <v>2041</v>
      </c>
      <c r="AH214" s="194" t="s">
        <v>206</v>
      </c>
      <c r="AI214" s="194" t="s">
        <v>2042</v>
      </c>
      <c r="AJ214" s="194" t="s">
        <v>197</v>
      </c>
      <c r="AK214" s="715">
        <v>45820</v>
      </c>
      <c r="AL214" s="715"/>
      <c r="AM214" s="715"/>
      <c r="AN214" s="227"/>
      <c r="AO214" s="227"/>
      <c r="AP214" s="196"/>
      <c r="AQ214" s="59">
        <f>IFERROR(VLOOKUP(C214,DATA!A$54:$N108,13,0),"")</f>
        <v>26</v>
      </c>
      <c r="AR214" s="59" t="str">
        <f>IFERROR(VLOOKUP(C214,DATA!A$54:$N108,14,0),"")</f>
        <v>(24 large pallets, 2 small pallets)</v>
      </c>
      <c r="AS214" s="541" t="s">
        <v>1687</v>
      </c>
      <c r="AT214" s="611">
        <v>2318656</v>
      </c>
      <c r="AU214" s="602">
        <f t="shared" ca="1" si="15"/>
        <v>45820.744867939815</v>
      </c>
      <c r="AV214" s="588" t="s">
        <v>2203</v>
      </c>
    </row>
    <row r="215" spans="1:48" s="273" customFormat="1" ht="18" customHeight="1">
      <c r="A215" s="704" t="s">
        <v>1973</v>
      </c>
      <c r="B215" s="257">
        <v>45821</v>
      </c>
      <c r="C215" s="691" t="s">
        <v>1903</v>
      </c>
      <c r="D215" s="258">
        <v>6</v>
      </c>
      <c r="E215" s="256" t="s">
        <v>1591</v>
      </c>
      <c r="F215" s="256" t="s">
        <v>1575</v>
      </c>
      <c r="G215" s="258" t="s">
        <v>2044</v>
      </c>
      <c r="H215" s="256" t="str">
        <f>IFERROR(VLOOKUP(C215,DATA!$A$11:$L$64,3,FALSE),"")</f>
        <v>FRESH MANGOSTEEN</v>
      </c>
      <c r="I215" s="260" t="s">
        <v>2043</v>
      </c>
      <c r="J215" s="315" t="s">
        <v>2044</v>
      </c>
      <c r="K215" s="733" t="s">
        <v>2045</v>
      </c>
      <c r="L215" s="261" t="s">
        <v>1973</v>
      </c>
      <c r="M215" s="262">
        <f>IFERROR(VLOOKUP(C215,DATA!$A$11:$L$71,4,FALSE),"")</f>
        <v>2</v>
      </c>
      <c r="N215" s="263">
        <f>IFERROR(VLOOKUP(C215,DATA!$A$11:$L$71,5,FALSE),"")</f>
        <v>1.8</v>
      </c>
      <c r="O215" s="263">
        <f>IFERROR(VLOOKUP(C215,DATA!$A$11:$L$71,6,FALSE),"")</f>
        <v>8.5</v>
      </c>
      <c r="P215" s="263">
        <f>IFERROR(VLOOKUP(C215,DATA!$A$11:$L$71,7,FALSE),"")</f>
        <v>7</v>
      </c>
      <c r="Q215" s="264">
        <f>IFERROR(VLOOKUP(C215,DATA!$A$11:$L$71,8,FALSE),"")</f>
        <v>2400</v>
      </c>
      <c r="R215" s="265" t="str">
        <f>IFERROR(VLOOKUP(C215,DATA!$A$11:$L$71,9,FALSE),"")</f>
        <v>PLASTIC BASKETS</v>
      </c>
      <c r="S215" s="698">
        <v>10</v>
      </c>
      <c r="T215" s="688" t="s">
        <v>890</v>
      </c>
      <c r="U215" s="259" t="str">
        <f>IFERROR(VLOOKUP(C215,DATA!$A$11:$L$71,12,FALSE),"")</f>
        <v>BEIJING JUNYAO INTERNATIONAL</v>
      </c>
      <c r="V215" s="256" t="s">
        <v>1525</v>
      </c>
      <c r="W215" s="256" t="s">
        <v>884</v>
      </c>
      <c r="X215" s="256" t="s">
        <v>192</v>
      </c>
      <c r="Y215" s="256" t="s">
        <v>571</v>
      </c>
      <c r="Z215" s="257">
        <v>45821</v>
      </c>
      <c r="AA215" s="689" t="s">
        <v>2031</v>
      </c>
      <c r="AB215" s="257">
        <v>45824</v>
      </c>
      <c r="AC215" s="257">
        <v>45828</v>
      </c>
      <c r="AD215" s="256" t="s">
        <v>24</v>
      </c>
      <c r="AE215" s="256" t="s">
        <v>2014</v>
      </c>
      <c r="AF215" s="269" t="s">
        <v>387</v>
      </c>
      <c r="AG215" s="265" t="s">
        <v>1736</v>
      </c>
      <c r="AH215" s="265" t="s">
        <v>1664</v>
      </c>
      <c r="AI215" s="265" t="s">
        <v>1665</v>
      </c>
      <c r="AJ215" s="265" t="s">
        <v>197</v>
      </c>
      <c r="AK215" s="723">
        <v>45821</v>
      </c>
      <c r="AL215" s="723"/>
      <c r="AM215" s="723"/>
      <c r="AN215" s="724"/>
      <c r="AO215" s="724"/>
      <c r="AP215" s="267"/>
      <c r="AQ215" s="272"/>
      <c r="AR215" s="272"/>
      <c r="AS215" s="543" t="s">
        <v>1669</v>
      </c>
      <c r="AT215" s="613">
        <v>2321103</v>
      </c>
      <c r="AU215" s="690">
        <f t="shared" ca="1" si="15"/>
        <v>45820.796829976854</v>
      </c>
      <c r="AV215" s="591" t="s">
        <v>2204</v>
      </c>
    </row>
    <row r="216" spans="1:48" s="678" customFormat="1" ht="18" customHeight="1">
      <c r="A216" s="662" t="s">
        <v>1974</v>
      </c>
      <c r="B216" s="663">
        <v>45821</v>
      </c>
      <c r="C216" s="662" t="s">
        <v>1444</v>
      </c>
      <c r="D216" s="664">
        <v>17</v>
      </c>
      <c r="E216" s="665" t="s">
        <v>1545</v>
      </c>
      <c r="F216" s="662" t="s">
        <v>1546</v>
      </c>
      <c r="G216" s="664" t="s">
        <v>2048</v>
      </c>
      <c r="H216" s="662" t="str">
        <f>IFERROR(VLOOKUP(C216,DATA!$A$11:$L$64,3,FALSE),"")</f>
        <v>FRESH MANGOSTEEN</v>
      </c>
      <c r="I216" s="734" t="s">
        <v>2046</v>
      </c>
      <c r="J216" s="666" t="s">
        <v>2048</v>
      </c>
      <c r="K216" s="666" t="s">
        <v>2049</v>
      </c>
      <c r="L216" s="667" t="s">
        <v>1974</v>
      </c>
      <c r="M216" s="707">
        <v>2</v>
      </c>
      <c r="N216" s="708">
        <v>1.8</v>
      </c>
      <c r="O216" s="708">
        <f>IFERROR(VLOOKUP(C216,DATA!$A$11:$L$71,6,FALSE),"")</f>
        <v>8.5</v>
      </c>
      <c r="P216" s="708">
        <f>IFERROR(VLOOKUP(C216,DATA!$A$11:$L$71,7,FALSE),"")</f>
        <v>7</v>
      </c>
      <c r="Q216" s="697">
        <v>2550</v>
      </c>
      <c r="R216" s="668" t="str">
        <f>IFERROR(VLOOKUP(C216,DATA!$A$11:$L$71,9,FALSE),"")</f>
        <v>PLASTIC BASKETS</v>
      </c>
      <c r="S216" s="709">
        <v>10</v>
      </c>
      <c r="T216" s="669" t="str">
        <f>IFERROR(VLOOKUP(C216,DATA!$A$11:$L$71,11,FALSE),"")</f>
        <v>5%</v>
      </c>
      <c r="U216" s="670" t="str">
        <f>IFERROR(VLOOKUP(C216,DATA!$A$11:$L$71,12,FALSE),"")</f>
        <v>BEIJING JUNYAO INTERNATIONAL</v>
      </c>
      <c r="V216" s="662" t="s">
        <v>1525</v>
      </c>
      <c r="W216" s="662" t="s">
        <v>884</v>
      </c>
      <c r="X216" s="662" t="s">
        <v>192</v>
      </c>
      <c r="Y216" s="662" t="s">
        <v>571</v>
      </c>
      <c r="Z216" s="663">
        <v>45821</v>
      </c>
      <c r="AA216" s="683" t="s">
        <v>2031</v>
      </c>
      <c r="AB216" s="663">
        <v>45824</v>
      </c>
      <c r="AC216" s="663">
        <v>45828</v>
      </c>
      <c r="AD216" s="662" t="s">
        <v>24</v>
      </c>
      <c r="AE216" s="662" t="s">
        <v>2047</v>
      </c>
      <c r="AF216" s="668" t="s">
        <v>387</v>
      </c>
      <c r="AG216" s="668" t="s">
        <v>2050</v>
      </c>
      <c r="AH216" s="668" t="s">
        <v>2051</v>
      </c>
      <c r="AI216" s="668" t="s">
        <v>2052</v>
      </c>
      <c r="AJ216" s="668" t="s">
        <v>197</v>
      </c>
      <c r="AK216" s="721">
        <v>45821</v>
      </c>
      <c r="AL216" s="721"/>
      <c r="AM216" s="721"/>
      <c r="AN216" s="722"/>
      <c r="AO216" s="722"/>
      <c r="AP216" s="669"/>
      <c r="AQ216" s="674"/>
      <c r="AR216" s="674"/>
      <c r="AS216" s="714" t="s">
        <v>1669</v>
      </c>
      <c r="AT216" s="675">
        <v>2321108</v>
      </c>
      <c r="AU216" s="676">
        <f t="shared" ca="1" si="15"/>
        <v>45822.04112199074</v>
      </c>
      <c r="AV216" s="677" t="s">
        <v>2204</v>
      </c>
    </row>
    <row r="217" spans="1:48" ht="18" customHeight="1">
      <c r="A217" s="744" t="s">
        <v>1975</v>
      </c>
      <c r="B217" s="60">
        <v>45821</v>
      </c>
      <c r="C217" s="729" t="s">
        <v>1562</v>
      </c>
      <c r="D217" s="30">
        <v>12</v>
      </c>
      <c r="E217" s="6" t="s">
        <v>1563</v>
      </c>
      <c r="F217" s="6" t="s">
        <v>1564</v>
      </c>
      <c r="G217" s="30" t="s">
        <v>2054</v>
      </c>
      <c r="H217" s="6" t="str">
        <f>IFERROR(VLOOKUP(C217,DATA!$A$11:$L$64,3,FALSE),"")</f>
        <v>FRESH MANGOSTEEN</v>
      </c>
      <c r="I217" s="24" t="s">
        <v>2053</v>
      </c>
      <c r="J217" s="7" t="s">
        <v>2054</v>
      </c>
      <c r="K217" s="174" t="s">
        <v>2055</v>
      </c>
      <c r="L217" s="62" t="s">
        <v>1975</v>
      </c>
      <c r="M217" s="191">
        <f>IFERROR(VLOOKUP(C217,DATA!$A$11:$L$71,4,FALSE),"")</f>
        <v>1.67</v>
      </c>
      <c r="N217" s="192">
        <f>IFERROR(VLOOKUP(C217,DATA!$A$11:$L$71,5,FALSE),"")</f>
        <v>1.55</v>
      </c>
      <c r="O217" s="192">
        <f>IFERROR(VLOOKUP(C217,DATA!$A$11:$L$71,6,FALSE),"")</f>
        <v>16</v>
      </c>
      <c r="P217" s="192">
        <f>IFERROR(VLOOKUP(C217,DATA!$A$11:$L$71,7,FALSE),"")</f>
        <v>14</v>
      </c>
      <c r="Q217" s="193">
        <f>IFERROR(VLOOKUP(C217,DATA!$A$11:$L$71,8,FALSE),"")</f>
        <v>1350</v>
      </c>
      <c r="R217" s="194" t="str">
        <f>IFERROR(VLOOKUP(C217,DATA!$A$11:$L$71,9,FALSE),"")</f>
        <v>PLASTIC BASKETS</v>
      </c>
      <c r="S217" s="195">
        <v>11</v>
      </c>
      <c r="T217" s="196" t="str">
        <f>IFERROR(VLOOKUP(C217,DATA!$A$11:$L$71,11,FALSE),"")</f>
        <v>5%</v>
      </c>
      <c r="U217" s="747" t="s">
        <v>1565</v>
      </c>
      <c r="V217" s="6" t="s">
        <v>1525</v>
      </c>
      <c r="W217" s="6" t="s">
        <v>884</v>
      </c>
      <c r="X217" s="6" t="s">
        <v>192</v>
      </c>
      <c r="Y217" s="6" t="s">
        <v>571</v>
      </c>
      <c r="Z217" s="60">
        <v>45821</v>
      </c>
      <c r="AA217" s="318" t="s">
        <v>2031</v>
      </c>
      <c r="AB217" s="60">
        <v>45824</v>
      </c>
      <c r="AC217" s="60">
        <v>45828</v>
      </c>
      <c r="AD217" s="6" t="s">
        <v>24</v>
      </c>
      <c r="AE217" s="6" t="s">
        <v>2047</v>
      </c>
      <c r="AF217" s="194" t="s">
        <v>387</v>
      </c>
      <c r="AG217" s="735" t="s">
        <v>1960</v>
      </c>
      <c r="AH217" s="735" t="s">
        <v>1961</v>
      </c>
      <c r="AI217" s="735" t="s">
        <v>1962</v>
      </c>
      <c r="AJ217" s="194" t="s">
        <v>197</v>
      </c>
      <c r="AK217" s="715">
        <v>45821</v>
      </c>
      <c r="AL217" s="715"/>
      <c r="AM217" s="715"/>
      <c r="AN217" s="227"/>
      <c r="AO217" s="227"/>
      <c r="AP217" s="196"/>
      <c r="AQ217" s="59">
        <f>IFERROR(VLOOKUP(C217,DATA!A$54:$N111,13,0),"")</f>
        <v>26</v>
      </c>
      <c r="AR217" s="59" t="str">
        <f>IFERROR(VLOOKUP(C217,DATA!A$54:$N111,14,0),"")</f>
        <v>(24 large pallets, 2 small pallets)</v>
      </c>
      <c r="AS217" s="541" t="s">
        <v>1687</v>
      </c>
      <c r="AT217" s="611">
        <v>2321109</v>
      </c>
      <c r="AU217" s="602">
        <f t="shared" ca="1" si="15"/>
        <v>45822.051314699071</v>
      </c>
      <c r="AV217" s="588" t="s">
        <v>2205</v>
      </c>
    </row>
    <row r="218" spans="1:48" ht="18" customHeight="1">
      <c r="A218" s="744" t="s">
        <v>1976</v>
      </c>
      <c r="B218" s="60">
        <v>45821</v>
      </c>
      <c r="C218" s="729" t="s">
        <v>1562</v>
      </c>
      <c r="D218" s="30">
        <v>13</v>
      </c>
      <c r="E218" s="6" t="s">
        <v>1563</v>
      </c>
      <c r="F218" s="6" t="s">
        <v>1564</v>
      </c>
      <c r="G218" s="30" t="s">
        <v>2057</v>
      </c>
      <c r="H218" s="6" t="str">
        <f>IFERROR(VLOOKUP(C218,DATA!$A$11:$L$64,3,FALSE),"")</f>
        <v>FRESH MANGOSTEEN</v>
      </c>
      <c r="I218" s="24" t="s">
        <v>2056</v>
      </c>
      <c r="J218" s="7" t="s">
        <v>2057</v>
      </c>
      <c r="K218" s="174" t="s">
        <v>2058</v>
      </c>
      <c r="L218" s="62" t="s">
        <v>1976</v>
      </c>
      <c r="M218" s="191">
        <f>IFERROR(VLOOKUP(C218,DATA!$A$11:$L$71,4,FALSE),"")</f>
        <v>1.67</v>
      </c>
      <c r="N218" s="192">
        <f>IFERROR(VLOOKUP(C218,DATA!$A$11:$L$71,5,FALSE),"")</f>
        <v>1.55</v>
      </c>
      <c r="O218" s="359">
        <v>16.5</v>
      </c>
      <c r="P218" s="359">
        <v>14.5</v>
      </c>
      <c r="Q218" s="193">
        <f>IFERROR(VLOOKUP(C218,DATA!$A$11:$L$71,8,FALSE),"")</f>
        <v>1350</v>
      </c>
      <c r="R218" s="194" t="str">
        <f>IFERROR(VLOOKUP(C218,DATA!$A$11:$L$71,9,FALSE),"")</f>
        <v>PLASTIC BASKETS</v>
      </c>
      <c r="S218" s="195">
        <v>11</v>
      </c>
      <c r="T218" s="196" t="str">
        <f>IFERROR(VLOOKUP(C218,DATA!$A$11:$L$71,11,FALSE),"")</f>
        <v>5%</v>
      </c>
      <c r="U218" s="747" t="s">
        <v>1565</v>
      </c>
      <c r="V218" s="6" t="s">
        <v>1525</v>
      </c>
      <c r="W218" s="6" t="s">
        <v>884</v>
      </c>
      <c r="X218" s="6" t="s">
        <v>192</v>
      </c>
      <c r="Y218" s="6" t="s">
        <v>571</v>
      </c>
      <c r="Z218" s="60">
        <v>45821</v>
      </c>
      <c r="AA218" s="318" t="s">
        <v>2031</v>
      </c>
      <c r="AB218" s="60">
        <v>45824</v>
      </c>
      <c r="AC218" s="60">
        <v>45828</v>
      </c>
      <c r="AD218" s="6" t="s">
        <v>24</v>
      </c>
      <c r="AE218" s="6" t="s">
        <v>2047</v>
      </c>
      <c r="AF218" s="194" t="s">
        <v>387</v>
      </c>
      <c r="AG218" s="194" t="s">
        <v>1878</v>
      </c>
      <c r="AH218" s="194" t="s">
        <v>1879</v>
      </c>
      <c r="AI218" s="194" t="s">
        <v>1880</v>
      </c>
      <c r="AJ218" s="194" t="s">
        <v>197</v>
      </c>
      <c r="AK218" s="715">
        <v>45821</v>
      </c>
      <c r="AL218" s="715"/>
      <c r="AM218" s="715"/>
      <c r="AN218" s="227"/>
      <c r="AO218" s="227"/>
      <c r="AP218" s="196"/>
      <c r="AQ218" s="59">
        <f>IFERROR(VLOOKUP(C218,DATA!A$54:$N112,13,0),"")</f>
        <v>26</v>
      </c>
      <c r="AR218" s="59" t="str">
        <f>IFERROR(VLOOKUP(C218,DATA!A$54:$N112,14,0),"")</f>
        <v>(24 large pallets, 2 small pallets)</v>
      </c>
      <c r="AS218" s="541" t="s">
        <v>1687</v>
      </c>
      <c r="AT218" s="611">
        <v>2321110</v>
      </c>
      <c r="AU218" s="602">
        <f t="shared" ca="1" si="15"/>
        <v>45822.082090046293</v>
      </c>
      <c r="AV218" s="588" t="s">
        <v>2205</v>
      </c>
    </row>
    <row r="219" spans="1:48" s="678" customFormat="1" ht="18" customHeight="1">
      <c r="A219" s="665" t="s">
        <v>1977</v>
      </c>
      <c r="B219" s="663">
        <v>45822</v>
      </c>
      <c r="C219" s="662" t="s">
        <v>1444</v>
      </c>
      <c r="D219" s="740">
        <v>18</v>
      </c>
      <c r="E219" s="665" t="s">
        <v>1545</v>
      </c>
      <c r="F219" s="662" t="s">
        <v>1546</v>
      </c>
      <c r="G219" s="664" t="s">
        <v>2075</v>
      </c>
      <c r="H219" s="662" t="str">
        <f>IFERROR(VLOOKUP(C219,DATA!$A$11:$L$64,3,FALSE),"")</f>
        <v>FRESH MANGOSTEEN</v>
      </c>
      <c r="I219" s="779" t="s">
        <v>2059</v>
      </c>
      <c r="J219" s="666" t="s">
        <v>2075</v>
      </c>
      <c r="K219" s="736" t="s">
        <v>2076</v>
      </c>
      <c r="L219" s="667" t="s">
        <v>1977</v>
      </c>
      <c r="M219" s="705">
        <v>2</v>
      </c>
      <c r="N219" s="701">
        <v>1.8</v>
      </c>
      <c r="O219" s="708">
        <f>IFERROR(VLOOKUP(C219,DATA!$A$11:$L$71,6,FALSE),"")</f>
        <v>8.5</v>
      </c>
      <c r="P219" s="708">
        <f>IFERROR(VLOOKUP(C219,DATA!$A$11:$L$71,7,FALSE),"")</f>
        <v>7</v>
      </c>
      <c r="Q219" s="697">
        <v>2550</v>
      </c>
      <c r="R219" s="668" t="str">
        <f>IFERROR(VLOOKUP(C219,DATA!$A$11:$L$71,9,FALSE),"")</f>
        <v>PLASTIC BASKETS</v>
      </c>
      <c r="S219" s="679">
        <v>10</v>
      </c>
      <c r="T219" s="669" t="str">
        <f>IFERROR(VLOOKUP(C219,DATA!$A$11:$L$71,11,FALSE),"")</f>
        <v>5%</v>
      </c>
      <c r="U219" s="670" t="str">
        <f>IFERROR(VLOOKUP(C219,DATA!$A$11:$L$71,12,FALSE),"")</f>
        <v>BEIJING JUNYAO INTERNATIONAL</v>
      </c>
      <c r="V219" s="662" t="s">
        <v>1525</v>
      </c>
      <c r="W219" s="662" t="s">
        <v>1322</v>
      </c>
      <c r="X219" s="662" t="s">
        <v>192</v>
      </c>
      <c r="Y219" s="662" t="s">
        <v>193</v>
      </c>
      <c r="Z219" s="663">
        <v>45822</v>
      </c>
      <c r="AA219" s="683" t="s">
        <v>2078</v>
      </c>
      <c r="AB219" s="663">
        <v>45825</v>
      </c>
      <c r="AC219" s="663">
        <v>45829</v>
      </c>
      <c r="AD219" s="662" t="s">
        <v>13</v>
      </c>
      <c r="AE219" s="662" t="s">
        <v>2143</v>
      </c>
      <c r="AF219" s="668" t="s">
        <v>201</v>
      </c>
      <c r="AG219" s="668" t="s">
        <v>326</v>
      </c>
      <c r="AH219" s="668" t="s">
        <v>327</v>
      </c>
      <c r="AI219" s="668" t="s">
        <v>2077</v>
      </c>
      <c r="AJ219" s="668" t="s">
        <v>197</v>
      </c>
      <c r="AK219" s="721">
        <v>45822</v>
      </c>
      <c r="AL219" s="721"/>
      <c r="AM219" s="721"/>
      <c r="AN219" s="722"/>
      <c r="AO219" s="722"/>
      <c r="AP219" s="669"/>
      <c r="AQ219" s="674"/>
      <c r="AR219" s="674"/>
      <c r="AS219" s="714" t="s">
        <v>1669</v>
      </c>
      <c r="AT219" s="675">
        <v>2322085</v>
      </c>
      <c r="AU219" s="676">
        <f t="shared" ca="1" si="15"/>
        <v>45822.571211574075</v>
      </c>
      <c r="AV219" s="677" t="s">
        <v>2206</v>
      </c>
    </row>
    <row r="220" spans="1:48" s="678" customFormat="1" ht="18" customHeight="1">
      <c r="A220" s="665" t="s">
        <v>1978</v>
      </c>
      <c r="B220" s="663">
        <v>45822</v>
      </c>
      <c r="C220" s="662" t="s">
        <v>1444</v>
      </c>
      <c r="D220" s="740">
        <v>19</v>
      </c>
      <c r="E220" s="665" t="s">
        <v>1545</v>
      </c>
      <c r="F220" s="662" t="s">
        <v>1546</v>
      </c>
      <c r="G220" s="664" t="s">
        <v>2081</v>
      </c>
      <c r="H220" s="662" t="str">
        <f>IFERROR(VLOOKUP(C220,DATA!$A$11:$L$64,3,FALSE),"")</f>
        <v>FRESH MANGOSTEEN</v>
      </c>
      <c r="I220" s="779" t="s">
        <v>2060</v>
      </c>
      <c r="J220" s="666" t="s">
        <v>2081</v>
      </c>
      <c r="K220" s="736" t="s">
        <v>2082</v>
      </c>
      <c r="L220" s="667" t="s">
        <v>1978</v>
      </c>
      <c r="M220" s="705">
        <v>2</v>
      </c>
      <c r="N220" s="701">
        <v>1.8</v>
      </c>
      <c r="O220" s="708">
        <f>IFERROR(VLOOKUP(C220,DATA!$A$11:$L$71,6,FALSE),"")</f>
        <v>8.5</v>
      </c>
      <c r="P220" s="708">
        <f>IFERROR(VLOOKUP(C220,DATA!$A$11:$L$71,7,FALSE),"")</f>
        <v>7</v>
      </c>
      <c r="Q220" s="697">
        <v>2550</v>
      </c>
      <c r="R220" s="668" t="str">
        <f>IFERROR(VLOOKUP(C220,DATA!$A$11:$L$71,9,FALSE),"")</f>
        <v>PLASTIC BASKETS</v>
      </c>
      <c r="S220" s="679">
        <v>10</v>
      </c>
      <c r="T220" s="669" t="str">
        <f>IFERROR(VLOOKUP(C220,DATA!$A$11:$L$71,11,FALSE),"")</f>
        <v>5%</v>
      </c>
      <c r="U220" s="670" t="str">
        <f>IFERROR(VLOOKUP(C220,DATA!$A$11:$L$71,12,FALSE),"")</f>
        <v>BEIJING JUNYAO INTERNATIONAL</v>
      </c>
      <c r="V220" s="662" t="s">
        <v>1525</v>
      </c>
      <c r="W220" s="662" t="s">
        <v>1322</v>
      </c>
      <c r="X220" s="662" t="s">
        <v>192</v>
      </c>
      <c r="Y220" s="662" t="s">
        <v>193</v>
      </c>
      <c r="Z220" s="663">
        <v>45822</v>
      </c>
      <c r="AA220" s="683" t="s">
        <v>2079</v>
      </c>
      <c r="AB220" s="663">
        <v>45825</v>
      </c>
      <c r="AC220" s="663">
        <v>45829</v>
      </c>
      <c r="AD220" s="662" t="s">
        <v>13</v>
      </c>
      <c r="AE220" s="662" t="s">
        <v>2143</v>
      </c>
      <c r="AF220" s="668" t="s">
        <v>201</v>
      </c>
      <c r="AG220" s="668" t="s">
        <v>2041</v>
      </c>
      <c r="AH220" s="668" t="s">
        <v>206</v>
      </c>
      <c r="AI220" s="668" t="s">
        <v>2083</v>
      </c>
      <c r="AJ220" s="668" t="s">
        <v>197</v>
      </c>
      <c r="AK220" s="721">
        <v>45822</v>
      </c>
      <c r="AL220" s="721"/>
      <c r="AM220" s="721"/>
      <c r="AN220" s="722"/>
      <c r="AO220" s="722"/>
      <c r="AP220" s="669"/>
      <c r="AQ220" s="674"/>
      <c r="AR220" s="674"/>
      <c r="AS220" s="714" t="s">
        <v>1669</v>
      </c>
      <c r="AT220" s="675">
        <v>2322095</v>
      </c>
      <c r="AU220" s="676">
        <f t="shared" ca="1" si="15"/>
        <v>45822.571218055557</v>
      </c>
      <c r="AV220" s="677" t="s">
        <v>2223</v>
      </c>
    </row>
    <row r="221" spans="1:48" s="678" customFormat="1" ht="18" customHeight="1">
      <c r="A221" s="665" t="s">
        <v>1979</v>
      </c>
      <c r="B221" s="663">
        <v>45822</v>
      </c>
      <c r="C221" s="662" t="s">
        <v>1444</v>
      </c>
      <c r="D221" s="664">
        <v>20</v>
      </c>
      <c r="E221" s="665" t="s">
        <v>1545</v>
      </c>
      <c r="F221" s="662" t="s">
        <v>1546</v>
      </c>
      <c r="G221" s="662" t="s">
        <v>2084</v>
      </c>
      <c r="H221" s="662" t="str">
        <f>IFERROR(VLOOKUP(C221,DATA!$A$11:$L$64,3,FALSE),"")</f>
        <v>FRESH MANGOSTEEN</v>
      </c>
      <c r="I221" s="666" t="s">
        <v>2061</v>
      </c>
      <c r="J221" s="666" t="s">
        <v>2084</v>
      </c>
      <c r="K221" s="736" t="s">
        <v>2085</v>
      </c>
      <c r="L221" s="667" t="s">
        <v>1979</v>
      </c>
      <c r="M221" s="705">
        <v>2</v>
      </c>
      <c r="N221" s="701">
        <v>1.8</v>
      </c>
      <c r="O221" s="708">
        <f>IFERROR(VLOOKUP(C221,DATA!$A$11:$L$71,6,FALSE),"")</f>
        <v>8.5</v>
      </c>
      <c r="P221" s="708">
        <f>IFERROR(VLOOKUP(C221,DATA!$A$11:$L$71,7,FALSE),"")</f>
        <v>7</v>
      </c>
      <c r="Q221" s="697">
        <v>2550</v>
      </c>
      <c r="R221" s="668" t="str">
        <f>IFERROR(VLOOKUP(C221,DATA!$A$11:$L$71,9,FALSE),"")</f>
        <v>PLASTIC BASKETS</v>
      </c>
      <c r="S221" s="679">
        <v>10</v>
      </c>
      <c r="T221" s="669" t="str">
        <f>IFERROR(VLOOKUP(C221,DATA!$A$11:$L$71,11,FALSE),"")</f>
        <v>5%</v>
      </c>
      <c r="U221" s="670" t="str">
        <f>IFERROR(VLOOKUP(C221,DATA!$A$11:$L$71,12,FALSE),"")</f>
        <v>BEIJING JUNYAO INTERNATIONAL</v>
      </c>
      <c r="V221" s="662" t="s">
        <v>1525</v>
      </c>
      <c r="W221" s="662" t="s">
        <v>1613</v>
      </c>
      <c r="X221" s="662" t="s">
        <v>192</v>
      </c>
      <c r="Y221" s="662" t="s">
        <v>864</v>
      </c>
      <c r="Z221" s="663">
        <v>45822</v>
      </c>
      <c r="AA221" s="683" t="s">
        <v>2080</v>
      </c>
      <c r="AB221" s="663">
        <v>45826</v>
      </c>
      <c r="AC221" s="663">
        <v>45830</v>
      </c>
      <c r="AD221" s="662" t="s">
        <v>24</v>
      </c>
      <c r="AE221" s="662" t="s">
        <v>2087</v>
      </c>
      <c r="AF221" s="668" t="s">
        <v>387</v>
      </c>
      <c r="AG221" s="668" t="s">
        <v>1580</v>
      </c>
      <c r="AH221" s="668" t="s">
        <v>1581</v>
      </c>
      <c r="AI221" s="668" t="s">
        <v>2086</v>
      </c>
      <c r="AJ221" s="668" t="s">
        <v>197</v>
      </c>
      <c r="AK221" s="721">
        <v>45822</v>
      </c>
      <c r="AL221" s="721"/>
      <c r="AM221" s="721"/>
      <c r="AN221" s="722"/>
      <c r="AO221" s="722"/>
      <c r="AP221" s="669"/>
      <c r="AQ221" s="674"/>
      <c r="AR221" s="674"/>
      <c r="AS221" s="714" t="s">
        <v>1669</v>
      </c>
      <c r="AT221" s="675">
        <v>2322096</v>
      </c>
      <c r="AU221" s="676">
        <f t="shared" ca="1" si="15"/>
        <v>45822.571679166664</v>
      </c>
      <c r="AV221" s="677" t="s">
        <v>2207</v>
      </c>
    </row>
    <row r="222" spans="1:48" s="273" customFormat="1" ht="18" customHeight="1">
      <c r="A222" s="704" t="s">
        <v>1980</v>
      </c>
      <c r="B222" s="257">
        <v>45822</v>
      </c>
      <c r="C222" s="691" t="s">
        <v>1903</v>
      </c>
      <c r="D222" s="741">
        <v>7</v>
      </c>
      <c r="E222" s="256" t="s">
        <v>1591</v>
      </c>
      <c r="F222" s="256" t="s">
        <v>1575</v>
      </c>
      <c r="G222" s="258" t="s">
        <v>2105</v>
      </c>
      <c r="H222" s="256" t="str">
        <f>IFERROR(VLOOKUP(C222,DATA!$A$11:$L$64,3,FALSE),"")</f>
        <v>FRESH MANGOSTEEN</v>
      </c>
      <c r="I222" s="780" t="s">
        <v>2062</v>
      </c>
      <c r="J222" s="315" t="s">
        <v>2105</v>
      </c>
      <c r="K222" s="260" t="s">
        <v>2106</v>
      </c>
      <c r="L222" s="261" t="s">
        <v>1980</v>
      </c>
      <c r="M222" s="262">
        <f>IFERROR(VLOOKUP(C222,DATA!$A$11:$L$71,4,FALSE),"")</f>
        <v>2</v>
      </c>
      <c r="N222" s="263">
        <f>IFERROR(VLOOKUP(C222,DATA!$A$11:$L$71,5,FALSE),"")</f>
        <v>1.8</v>
      </c>
      <c r="O222" s="263">
        <f>IFERROR(VLOOKUP(C222,DATA!$A$11:$L$71,6,FALSE),"")</f>
        <v>8.5</v>
      </c>
      <c r="P222" s="263">
        <f>IFERROR(VLOOKUP(C222,DATA!$A$11:$L$71,7,FALSE),"")</f>
        <v>7</v>
      </c>
      <c r="Q222" s="311">
        <v>1920</v>
      </c>
      <c r="R222" s="265" t="str">
        <f>IFERROR(VLOOKUP(C222,DATA!$A$11:$L$71,9,FALSE),"")</f>
        <v>PLASTIC BASKETS</v>
      </c>
      <c r="S222" s="266">
        <f>IFERROR(VLOOKUP(C222,DATA!$A$11:$L$71,10,FALSE),"")</f>
        <v>10</v>
      </c>
      <c r="T222" s="267" t="str">
        <f>IFERROR(VLOOKUP(C222,DATA!$A$11:$L$71,11,FALSE),"")</f>
        <v>10%</v>
      </c>
      <c r="U222" s="259" t="str">
        <f>IFERROR(VLOOKUP(C222,DATA!$A$11:$L$71,12,FALSE),"")</f>
        <v>BEIJING JUNYAO INTERNATIONAL</v>
      </c>
      <c r="V222" s="256" t="s">
        <v>1525</v>
      </c>
      <c r="W222" s="256" t="s">
        <v>1322</v>
      </c>
      <c r="X222" s="256" t="s">
        <v>192</v>
      </c>
      <c r="Y222" s="256" t="s">
        <v>193</v>
      </c>
      <c r="Z222" s="257">
        <v>45822</v>
      </c>
      <c r="AA222" s="689" t="s">
        <v>2078</v>
      </c>
      <c r="AB222" s="257">
        <v>45825</v>
      </c>
      <c r="AC222" s="257">
        <v>45829</v>
      </c>
      <c r="AD222" s="256" t="s">
        <v>13</v>
      </c>
      <c r="AE222" s="256" t="s">
        <v>2143</v>
      </c>
      <c r="AF222" s="265" t="s">
        <v>201</v>
      </c>
      <c r="AG222" s="265" t="s">
        <v>498</v>
      </c>
      <c r="AH222" s="265" t="s">
        <v>316</v>
      </c>
      <c r="AI222" s="265" t="s">
        <v>2107</v>
      </c>
      <c r="AJ222" s="265" t="s">
        <v>197</v>
      </c>
      <c r="AK222" s="723">
        <v>45822</v>
      </c>
      <c r="AL222" s="723"/>
      <c r="AM222" s="723"/>
      <c r="AN222" s="724"/>
      <c r="AO222" s="724"/>
      <c r="AP222" s="267"/>
      <c r="AQ222" s="272"/>
      <c r="AR222" s="272"/>
      <c r="AS222" s="714" t="s">
        <v>1669</v>
      </c>
      <c r="AT222" s="613">
        <v>2322103</v>
      </c>
      <c r="AU222" s="690">
        <f t="shared" ca="1" si="15"/>
        <v>45822.572332175929</v>
      </c>
      <c r="AV222" s="591" t="s">
        <v>2208</v>
      </c>
    </row>
    <row r="223" spans="1:48" s="273" customFormat="1" ht="18" customHeight="1">
      <c r="A223" s="256" t="s">
        <v>1988</v>
      </c>
      <c r="B223" s="257">
        <v>45822</v>
      </c>
      <c r="C223" s="691" t="s">
        <v>2073</v>
      </c>
      <c r="D223" s="741">
        <v>1</v>
      </c>
      <c r="E223" s="256" t="s">
        <v>1591</v>
      </c>
      <c r="F223" s="256" t="s">
        <v>1575</v>
      </c>
      <c r="G223" s="258" t="s">
        <v>2109</v>
      </c>
      <c r="H223" s="256" t="str">
        <f>IFERROR(VLOOKUP(C223,DATA!$A$11:$L$64,3,FALSE),"")</f>
        <v>FRESH MANGOSTEEN</v>
      </c>
      <c r="I223" s="780" t="s">
        <v>2074</v>
      </c>
      <c r="J223" s="315" t="s">
        <v>2109</v>
      </c>
      <c r="K223" s="260" t="s">
        <v>2110</v>
      </c>
      <c r="L223" s="261" t="s">
        <v>1988</v>
      </c>
      <c r="M223" s="262">
        <f>IFERROR(VLOOKUP(C223,DATA!$A$11:$L$71,4,FALSE),"")</f>
        <v>2</v>
      </c>
      <c r="N223" s="263">
        <f>IFERROR(VLOOKUP(C223,DATA!$A$11:$L$71,5,FALSE),"")</f>
        <v>1.8</v>
      </c>
      <c r="O223" s="263">
        <f>IFERROR(VLOOKUP(C223,DATA!$A$11:$L$71,6,FALSE),"")</f>
        <v>8.5</v>
      </c>
      <c r="P223" s="263">
        <f>IFERROR(VLOOKUP(C223,DATA!$A$11:$L$71,7,FALSE),"")</f>
        <v>7</v>
      </c>
      <c r="Q223" s="264">
        <f>IFERROR(VLOOKUP(C223,DATA!$A$11:$L$71,8,FALSE),"")</f>
        <v>2400</v>
      </c>
      <c r="R223" s="265" t="str">
        <f>IFERROR(VLOOKUP(C223,DATA!$A$11:$L$71,9,FALSE),"")</f>
        <v>PLASTIC BASKETS</v>
      </c>
      <c r="S223" s="266">
        <f>IFERROR(VLOOKUP(C223,DATA!$A$11:$L$71,10,FALSE),"")</f>
        <v>10</v>
      </c>
      <c r="T223" s="267" t="str">
        <f>IFERROR(VLOOKUP(C223,DATA!$A$11:$L$71,11,FALSE),"")</f>
        <v>10%</v>
      </c>
      <c r="U223" s="259" t="str">
        <f>IFERROR(VLOOKUP(C223,DATA!$A$11:$L$71,12,FALSE),"")</f>
        <v>BEIJING JUNYAO INTERNATIONAL</v>
      </c>
      <c r="V223" s="256" t="s">
        <v>1525</v>
      </c>
      <c r="W223" s="256" t="s">
        <v>1322</v>
      </c>
      <c r="X223" s="256" t="s">
        <v>192</v>
      </c>
      <c r="Y223" s="691" t="s">
        <v>231</v>
      </c>
      <c r="Z223" s="257">
        <v>45822</v>
      </c>
      <c r="AA223" s="689" t="s">
        <v>2078</v>
      </c>
      <c r="AB223" s="268">
        <v>45829</v>
      </c>
      <c r="AC223" s="268">
        <v>45834</v>
      </c>
      <c r="AD223" s="691" t="s">
        <v>40</v>
      </c>
      <c r="AE223" s="691" t="s">
        <v>2180</v>
      </c>
      <c r="AF223" s="265" t="s">
        <v>201</v>
      </c>
      <c r="AG223" s="265" t="s">
        <v>1477</v>
      </c>
      <c r="AH223" s="265" t="s">
        <v>203</v>
      </c>
      <c r="AI223" s="265" t="s">
        <v>2108</v>
      </c>
      <c r="AJ223" s="265" t="s">
        <v>197</v>
      </c>
      <c r="AK223" s="723">
        <v>45822</v>
      </c>
      <c r="AL223" s="723"/>
      <c r="AM223" s="723"/>
      <c r="AN223" s="724"/>
      <c r="AO223" s="724"/>
      <c r="AP223" s="267"/>
      <c r="AQ223" s="272"/>
      <c r="AR223" s="272"/>
      <c r="AS223" s="714" t="s">
        <v>1669</v>
      </c>
      <c r="AT223" s="743">
        <v>2322105</v>
      </c>
      <c r="AU223" s="690">
        <f t="shared" ca="1" si="15"/>
        <v>45822.572342476851</v>
      </c>
      <c r="AV223" s="591" t="s">
        <v>2209</v>
      </c>
    </row>
    <row r="224" spans="1:48" s="273" customFormat="1" ht="18" customHeight="1">
      <c r="A224" s="704" t="s">
        <v>1989</v>
      </c>
      <c r="B224" s="257">
        <v>45822</v>
      </c>
      <c r="C224" s="691" t="s">
        <v>1903</v>
      </c>
      <c r="D224" s="258">
        <v>8</v>
      </c>
      <c r="E224" s="256" t="s">
        <v>1591</v>
      </c>
      <c r="F224" s="256" t="s">
        <v>1575</v>
      </c>
      <c r="G224" s="258" t="s">
        <v>2088</v>
      </c>
      <c r="H224" s="256" t="str">
        <f>IFERROR(VLOOKUP(C224,DATA!$A$11:$L$64,3,FALSE),"")</f>
        <v>FRESH MANGOSTEEN</v>
      </c>
      <c r="I224" s="315" t="s">
        <v>2063</v>
      </c>
      <c r="J224" s="315" t="s">
        <v>2088</v>
      </c>
      <c r="K224" s="260" t="s">
        <v>2089</v>
      </c>
      <c r="L224" s="261" t="s">
        <v>1989</v>
      </c>
      <c r="M224" s="262">
        <f>IFERROR(VLOOKUP(C224,DATA!$A$11:$L$71,4,FALSE),"")</f>
        <v>2</v>
      </c>
      <c r="N224" s="263">
        <f>IFERROR(VLOOKUP(C224,DATA!$A$11:$L$71,5,FALSE),"")</f>
        <v>1.8</v>
      </c>
      <c r="O224" s="263">
        <f>IFERROR(VLOOKUP(C224,DATA!$A$11:$L$71,6,FALSE),"")</f>
        <v>8.5</v>
      </c>
      <c r="P224" s="263">
        <f>IFERROR(VLOOKUP(C224,DATA!$A$11:$L$71,7,FALSE),"")</f>
        <v>7</v>
      </c>
      <c r="Q224" s="264">
        <f>IFERROR(VLOOKUP(C224,DATA!$A$11:$L$71,8,FALSE),"")</f>
        <v>2400</v>
      </c>
      <c r="R224" s="265" t="str">
        <f>IFERROR(VLOOKUP(C224,DATA!$A$11:$L$71,9,FALSE),"")</f>
        <v>PLASTIC BASKETS</v>
      </c>
      <c r="S224" s="266">
        <f>IFERROR(VLOOKUP(C224,DATA!$A$11:$L$71,10,FALSE),"")</f>
        <v>10</v>
      </c>
      <c r="T224" s="267" t="str">
        <f>IFERROR(VLOOKUP(C224,DATA!$A$11:$L$71,11,FALSE),"")</f>
        <v>10%</v>
      </c>
      <c r="U224" s="259" t="str">
        <f>IFERROR(VLOOKUP(C224,DATA!$A$11:$L$71,12,FALSE),"")</f>
        <v>BEIJING JUNYAO INTERNATIONAL</v>
      </c>
      <c r="V224" s="256" t="s">
        <v>1525</v>
      </c>
      <c r="W224" s="256" t="s">
        <v>1613</v>
      </c>
      <c r="X224" s="256" t="s">
        <v>192</v>
      </c>
      <c r="Y224" s="256" t="s">
        <v>864</v>
      </c>
      <c r="Z224" s="257">
        <v>45822</v>
      </c>
      <c r="AA224" s="689" t="s">
        <v>2090</v>
      </c>
      <c r="AB224" s="257">
        <v>45826</v>
      </c>
      <c r="AC224" s="257">
        <v>45830</v>
      </c>
      <c r="AD224" s="256" t="s">
        <v>24</v>
      </c>
      <c r="AE224" s="256" t="s">
        <v>2087</v>
      </c>
      <c r="AF224" s="265" t="s">
        <v>387</v>
      </c>
      <c r="AG224" s="265" t="s">
        <v>2091</v>
      </c>
      <c r="AH224" s="265" t="s">
        <v>2005</v>
      </c>
      <c r="AI224" s="265" t="s">
        <v>2006</v>
      </c>
      <c r="AJ224" s="265" t="s">
        <v>197</v>
      </c>
      <c r="AK224" s="723">
        <v>45822</v>
      </c>
      <c r="AL224" s="723"/>
      <c r="AM224" s="723"/>
      <c r="AN224" s="724"/>
      <c r="AO224" s="724"/>
      <c r="AP224" s="267"/>
      <c r="AQ224" s="272"/>
      <c r="AR224" s="272"/>
      <c r="AS224" s="714" t="s">
        <v>1669</v>
      </c>
      <c r="AT224" s="743">
        <v>2322106</v>
      </c>
      <c r="AU224" s="690">
        <f t="shared" ca="1" si="15"/>
        <v>45822.573995486113</v>
      </c>
      <c r="AV224" s="591" t="s">
        <v>2210</v>
      </c>
    </row>
    <row r="225" spans="1:50" ht="18" customHeight="1">
      <c r="A225" s="744" t="s">
        <v>1990</v>
      </c>
      <c r="B225" s="60">
        <v>45822</v>
      </c>
      <c r="C225" s="729" t="s">
        <v>1562</v>
      </c>
      <c r="D225" s="30">
        <v>14</v>
      </c>
      <c r="E225" s="6" t="s">
        <v>1563</v>
      </c>
      <c r="F225" s="6" t="s">
        <v>1564</v>
      </c>
      <c r="G225" s="30" t="s">
        <v>2092</v>
      </c>
      <c r="H225" s="6" t="str">
        <f>IFERROR(VLOOKUP(C225,DATA!$A$11:$L$64,3,FALSE),"")</f>
        <v>FRESH MANGOSTEEN</v>
      </c>
      <c r="I225" s="7" t="s">
        <v>2064</v>
      </c>
      <c r="J225" s="7" t="s">
        <v>2092</v>
      </c>
      <c r="K225" s="174" t="s">
        <v>2093</v>
      </c>
      <c r="L225" s="62" t="s">
        <v>1990</v>
      </c>
      <c r="M225" s="191">
        <f>IFERROR(VLOOKUP(C225,DATA!$A$11:$L$71,4,FALSE),"")</f>
        <v>1.67</v>
      </c>
      <c r="N225" s="192">
        <f>IFERROR(VLOOKUP(C225,DATA!$A$11:$L$71,5,FALSE),"")</f>
        <v>1.55</v>
      </c>
      <c r="O225" s="192">
        <f>IFERROR(VLOOKUP(C225,DATA!$A$11:$L$71,6,FALSE),"")</f>
        <v>16</v>
      </c>
      <c r="P225" s="192">
        <f>IFERROR(VLOOKUP(C225,DATA!$A$11:$L$71,7,FALSE),"")</f>
        <v>14</v>
      </c>
      <c r="Q225" s="193">
        <f>IFERROR(VLOOKUP(C225,DATA!$A$11:$L$71,8,FALSE),"")</f>
        <v>1350</v>
      </c>
      <c r="R225" s="194" t="str">
        <f>IFERROR(VLOOKUP(C225,DATA!$A$11:$L$71,9,FALSE),"")</f>
        <v>PLASTIC BASKETS</v>
      </c>
      <c r="S225" s="739">
        <v>11</v>
      </c>
      <c r="T225" s="196" t="str">
        <f>IFERROR(VLOOKUP(C225,DATA!$A$11:$L$71,11,FALSE),"")</f>
        <v>5%</v>
      </c>
      <c r="U225" s="32" t="str">
        <f>IFERROR(VLOOKUP(C225,DATA!$A$11:$L$71,12,FALSE),"")</f>
        <v>Yunnan Xinjiyi Agricultural Technology CO.,Ltd.</v>
      </c>
      <c r="V225" s="6" t="s">
        <v>1525</v>
      </c>
      <c r="W225" s="6" t="s">
        <v>1613</v>
      </c>
      <c r="X225" s="6" t="s">
        <v>192</v>
      </c>
      <c r="Y225" s="6" t="s">
        <v>864</v>
      </c>
      <c r="Z225" s="60">
        <v>45822</v>
      </c>
      <c r="AA225" s="318" t="s">
        <v>2090</v>
      </c>
      <c r="AB225" s="60">
        <v>45826</v>
      </c>
      <c r="AC225" s="60">
        <v>45830</v>
      </c>
      <c r="AD225" s="6" t="s">
        <v>24</v>
      </c>
      <c r="AE225" s="6" t="s">
        <v>2087</v>
      </c>
      <c r="AF225" s="194" t="s">
        <v>387</v>
      </c>
      <c r="AG225" s="194" t="s">
        <v>2094</v>
      </c>
      <c r="AH225" s="194" t="s">
        <v>2095</v>
      </c>
      <c r="AI225" s="194" t="s">
        <v>2096</v>
      </c>
      <c r="AJ225" s="194" t="s">
        <v>197</v>
      </c>
      <c r="AK225" s="715">
        <v>45822</v>
      </c>
      <c r="AL225" s="715"/>
      <c r="AM225" s="715"/>
      <c r="AN225" s="227"/>
      <c r="AO225" s="227"/>
      <c r="AP225" s="196"/>
      <c r="AQ225" s="59"/>
      <c r="AR225" s="59"/>
      <c r="AS225" s="738" t="s">
        <v>1687</v>
      </c>
      <c r="AT225" s="611">
        <v>2322121</v>
      </c>
      <c r="AU225" s="602">
        <f t="shared" ca="1" si="15"/>
        <v>45822.574852199075</v>
      </c>
      <c r="AV225" s="588" t="s">
        <v>2211</v>
      </c>
    </row>
    <row r="226" spans="1:50" ht="18" customHeight="1">
      <c r="A226" s="744" t="s">
        <v>1991</v>
      </c>
      <c r="B226" s="60">
        <v>45822</v>
      </c>
      <c r="C226" s="729" t="s">
        <v>1562</v>
      </c>
      <c r="D226" s="30">
        <v>15</v>
      </c>
      <c r="E226" s="6" t="s">
        <v>1563</v>
      </c>
      <c r="F226" s="6" t="s">
        <v>1564</v>
      </c>
      <c r="G226" s="30" t="s">
        <v>2097</v>
      </c>
      <c r="H226" s="6" t="str">
        <f>IFERROR(VLOOKUP(C226,DATA!$A$11:$L$64,3,FALSE),"")</f>
        <v>FRESH MANGOSTEEN</v>
      </c>
      <c r="I226" s="7" t="s">
        <v>2065</v>
      </c>
      <c r="J226" s="7" t="s">
        <v>2097</v>
      </c>
      <c r="K226" s="174" t="s">
        <v>2098</v>
      </c>
      <c r="L226" s="62" t="s">
        <v>1991</v>
      </c>
      <c r="M226" s="191">
        <f>IFERROR(VLOOKUP(C226,DATA!$A$11:$L$71,4,FALSE),"")</f>
        <v>1.67</v>
      </c>
      <c r="N226" s="192">
        <f>IFERROR(VLOOKUP(C226,DATA!$A$11:$L$71,5,FALSE),"")</f>
        <v>1.55</v>
      </c>
      <c r="O226" s="192">
        <f>IFERROR(VLOOKUP(C226,DATA!$A$11:$L$71,6,FALSE),"")</f>
        <v>16</v>
      </c>
      <c r="P226" s="192">
        <f>IFERROR(VLOOKUP(C226,DATA!$A$11:$L$71,7,FALSE),"")</f>
        <v>14</v>
      </c>
      <c r="Q226" s="193">
        <f>IFERROR(VLOOKUP(C226,DATA!$A$11:$L$71,8,FALSE),"")</f>
        <v>1350</v>
      </c>
      <c r="R226" s="194" t="str">
        <f>IFERROR(VLOOKUP(C226,DATA!$A$11:$L$71,9,FALSE),"")</f>
        <v>PLASTIC BASKETS</v>
      </c>
      <c r="S226" s="739">
        <v>11</v>
      </c>
      <c r="T226" s="196" t="str">
        <f>IFERROR(VLOOKUP(C226,DATA!$A$11:$L$71,11,FALSE),"")</f>
        <v>5%</v>
      </c>
      <c r="U226" s="32" t="str">
        <f>IFERROR(VLOOKUP(C226,DATA!$A$11:$L$71,12,FALSE),"")</f>
        <v>Yunnan Xinjiyi Agricultural Technology CO.,Ltd.</v>
      </c>
      <c r="V226" s="6" t="s">
        <v>1525</v>
      </c>
      <c r="W226" s="6" t="s">
        <v>1613</v>
      </c>
      <c r="X226" s="6" t="s">
        <v>192</v>
      </c>
      <c r="Y226" s="6" t="s">
        <v>864</v>
      </c>
      <c r="Z226" s="60">
        <v>45822</v>
      </c>
      <c r="AA226" s="318" t="s">
        <v>2090</v>
      </c>
      <c r="AB226" s="60">
        <v>45826</v>
      </c>
      <c r="AC226" s="60">
        <v>45830</v>
      </c>
      <c r="AD226" s="6" t="s">
        <v>24</v>
      </c>
      <c r="AE226" s="6" t="s">
        <v>2087</v>
      </c>
      <c r="AF226" s="194" t="s">
        <v>387</v>
      </c>
      <c r="AG226" s="194" t="s">
        <v>2099</v>
      </c>
      <c r="AH226" s="194" t="s">
        <v>2100</v>
      </c>
      <c r="AI226" s="194" t="s">
        <v>2101</v>
      </c>
      <c r="AJ226" s="194" t="s">
        <v>197</v>
      </c>
      <c r="AK226" s="715">
        <v>45822</v>
      </c>
      <c r="AL226" s="715"/>
      <c r="AM226" s="715"/>
      <c r="AN226" s="227"/>
      <c r="AO226" s="227"/>
      <c r="AP226" s="196"/>
      <c r="AQ226" s="59"/>
      <c r="AR226" s="59"/>
      <c r="AS226" s="541" t="s">
        <v>1687</v>
      </c>
      <c r="AT226" s="611">
        <v>2322128</v>
      </c>
      <c r="AU226" s="602">
        <f t="shared" ca="1" si="15"/>
        <v>45822.57486296296</v>
      </c>
      <c r="AV226" s="588" t="s">
        <v>2211</v>
      </c>
    </row>
    <row r="227" spans="1:50" s="583" customFormat="1" ht="18" customHeight="1">
      <c r="A227" s="695" t="s">
        <v>1992</v>
      </c>
      <c r="B227" s="567">
        <v>45822</v>
      </c>
      <c r="C227" s="566" t="s">
        <v>1642</v>
      </c>
      <c r="D227" s="568">
        <v>10</v>
      </c>
      <c r="E227" s="566" t="s">
        <v>1630</v>
      </c>
      <c r="F227" s="566" t="s">
        <v>1631</v>
      </c>
      <c r="G227" s="568" t="s">
        <v>1738</v>
      </c>
      <c r="H227" s="566" t="str">
        <f>IFERROR(VLOOKUP(C227,DATA!$A$11:$L$64,3,FALSE),"")</f>
        <v>FRESH MANGOSTEEN</v>
      </c>
      <c r="I227" s="577" t="s">
        <v>2066</v>
      </c>
      <c r="J227" s="569" t="s">
        <v>2102</v>
      </c>
      <c r="K227" s="725" t="s">
        <v>2103</v>
      </c>
      <c r="L227" s="570" t="s">
        <v>1992</v>
      </c>
      <c r="M227" s="680">
        <v>12.2</v>
      </c>
      <c r="N227" s="718">
        <v>1.54</v>
      </c>
      <c r="O227" s="572">
        <f>IFERROR(VLOOKUP(C227,DATA!$A$11:$L$71,6,FALSE),"")</f>
        <v>8.3000000000000007</v>
      </c>
      <c r="P227" s="572">
        <f>IFERROR(VLOOKUP(C227,DATA!$A$11:$L$71,7,FALSE),"")</f>
        <v>7</v>
      </c>
      <c r="Q227" s="573">
        <f>IFERROR(VLOOKUP(C227,DATA!$A$11:$L$71,8,FALSE),"")</f>
        <v>2400</v>
      </c>
      <c r="R227" s="574" t="str">
        <f>IFERROR(VLOOKUP(C227,DATA!$A$11:$L$71,9,FALSE),"")</f>
        <v>PLASTIC BASKETS</v>
      </c>
      <c r="S227" s="575">
        <f>IFERROR(VLOOKUP(C227,DATA!$A$11:$L$71,10,FALSE),"")</f>
        <v>12</v>
      </c>
      <c r="T227" s="576" t="str">
        <f>IFERROR(VLOOKUP(C227,DATA!$A$11:$L$71,11,FALSE),"")</f>
        <v>5%</v>
      </c>
      <c r="U227" s="577" t="str">
        <f>IFERROR(VLOOKUP(C227,DATA!$A$11:$L$71,12,FALSE),"")</f>
        <v>GUOSHEN(JIANGSU) INTERNATIONAL TRADE CO., LTD</v>
      </c>
      <c r="V227" s="566" t="s">
        <v>1525</v>
      </c>
      <c r="W227" s="566" t="s">
        <v>1613</v>
      </c>
      <c r="X227" s="566" t="s">
        <v>192</v>
      </c>
      <c r="Y227" s="566" t="s">
        <v>864</v>
      </c>
      <c r="Z227" s="567">
        <v>45822</v>
      </c>
      <c r="AA227" s="584" t="s">
        <v>2090</v>
      </c>
      <c r="AB227" s="567">
        <v>45826</v>
      </c>
      <c r="AC227" s="567">
        <v>45830</v>
      </c>
      <c r="AD227" s="566" t="s">
        <v>24</v>
      </c>
      <c r="AE227" s="566" t="s">
        <v>2087</v>
      </c>
      <c r="AF227" s="574" t="s">
        <v>387</v>
      </c>
      <c r="AG227" s="574" t="s">
        <v>1594</v>
      </c>
      <c r="AH227" s="574" t="s">
        <v>1595</v>
      </c>
      <c r="AI227" s="574" t="s">
        <v>2104</v>
      </c>
      <c r="AJ227" s="574" t="s">
        <v>197</v>
      </c>
      <c r="AK227" s="716">
        <v>45822</v>
      </c>
      <c r="AL227" s="716"/>
      <c r="AM227" s="716"/>
      <c r="AN227" s="717"/>
      <c r="AO227" s="717"/>
      <c r="AP227" s="576"/>
      <c r="AQ227" s="581"/>
      <c r="AR227" s="581"/>
      <c r="AS227" s="582" t="s">
        <v>1669</v>
      </c>
      <c r="AT227" s="742">
        <v>2322179</v>
      </c>
      <c r="AU227" s="601">
        <f t="shared" ca="1" si="15"/>
        <v>45822.575834490737</v>
      </c>
      <c r="AV227" s="600" t="s">
        <v>2249</v>
      </c>
    </row>
    <row r="228" spans="1:50" s="249" customFormat="1" ht="18" customHeight="1">
      <c r="A228" s="249" t="s">
        <v>1993</v>
      </c>
      <c r="B228" s="250">
        <v>45822</v>
      </c>
      <c r="C228" s="249" t="s">
        <v>1236</v>
      </c>
      <c r="D228" s="253">
        <v>6</v>
      </c>
      <c r="E228" s="249" t="s">
        <v>1239</v>
      </c>
      <c r="F228" s="249" t="s">
        <v>1240</v>
      </c>
      <c r="G228" s="252" t="s">
        <v>1348</v>
      </c>
      <c r="H228" s="249" t="str">
        <f>IFERROR(VLOOKUP(C228,DATA!$A$11:$L$64,3,FALSE),"")</f>
        <v>FRESH YOUNG COCONUT</v>
      </c>
      <c r="I228" s="296" t="s">
        <v>2067</v>
      </c>
      <c r="J228" s="296" t="s">
        <v>2070</v>
      </c>
      <c r="K228" s="296" t="s">
        <v>2071</v>
      </c>
      <c r="L228" s="249" t="s">
        <v>1993</v>
      </c>
      <c r="M228" s="737">
        <v>21.72</v>
      </c>
      <c r="N228" s="737">
        <v>19.57</v>
      </c>
      <c r="O228" s="737">
        <v>11.65</v>
      </c>
      <c r="P228" s="737">
        <v>10.65</v>
      </c>
      <c r="Q228" s="253">
        <v>2148</v>
      </c>
      <c r="R228" s="249" t="str">
        <f>IFERROR(VLOOKUP(C228,DATA!$A$11:$L$71,9,FALSE),"")</f>
        <v>CARTONS</v>
      </c>
      <c r="S228" s="253">
        <f>IFERROR(VLOOKUP(C228,DATA!$A$11:$L$71,10,FALSE),"")</f>
        <v>2</v>
      </c>
      <c r="T228" s="249" t="str">
        <f>IFERROR(VLOOKUP(C228,DATA!$A$11:$L$71,11,FALSE),"")</f>
        <v>5%</v>
      </c>
      <c r="U228" s="296" t="str">
        <f>IFERROR(VLOOKUP(C228,DATA!$A$11:$L$71,12,FALSE),"")</f>
        <v>SHENZHEN YUANZHILV TRADING CO., LTD.</v>
      </c>
      <c r="V228" s="249" t="s">
        <v>1525</v>
      </c>
      <c r="W228" s="249" t="s">
        <v>1744</v>
      </c>
      <c r="X228" s="249" t="s">
        <v>192</v>
      </c>
      <c r="Y228" s="249" t="s">
        <v>864</v>
      </c>
      <c r="Z228" s="250">
        <v>45822</v>
      </c>
      <c r="AA228" s="251" t="s">
        <v>2072</v>
      </c>
      <c r="AB228" s="250">
        <v>45826</v>
      </c>
      <c r="AC228" s="250">
        <v>45830</v>
      </c>
      <c r="AD228" s="249" t="s">
        <v>24</v>
      </c>
      <c r="AE228" s="249" t="s">
        <v>2069</v>
      </c>
      <c r="AF228" s="249" t="s">
        <v>1497</v>
      </c>
      <c r="AG228" s="249" t="s">
        <v>2111</v>
      </c>
      <c r="AH228" s="249" t="s">
        <v>2112</v>
      </c>
      <c r="AI228" s="249" t="s">
        <v>2113</v>
      </c>
      <c r="AJ228" s="249" t="s">
        <v>1218</v>
      </c>
      <c r="AK228" s="250">
        <v>45822</v>
      </c>
      <c r="AS228" s="296" t="s">
        <v>2068</v>
      </c>
      <c r="AT228" s="614">
        <v>2322229</v>
      </c>
      <c r="AU228" s="713">
        <f t="shared" ca="1" si="15"/>
        <v>45822.577166435185</v>
      </c>
      <c r="AV228" s="249" t="s">
        <v>2148</v>
      </c>
    </row>
    <row r="229" spans="1:50" s="678" customFormat="1" ht="18" customHeight="1">
      <c r="A229" s="662" t="s">
        <v>1994</v>
      </c>
      <c r="B229" s="749">
        <v>45824</v>
      </c>
      <c r="C229" s="662" t="s">
        <v>1444</v>
      </c>
      <c r="D229" s="664">
        <v>21</v>
      </c>
      <c r="E229" s="665" t="s">
        <v>1545</v>
      </c>
      <c r="F229" s="662" t="s">
        <v>1546</v>
      </c>
      <c r="G229" s="664" t="s">
        <v>2145</v>
      </c>
      <c r="H229" s="662" t="str">
        <f>IFERROR(VLOOKUP(C229,DATA!$A$11:$L$64,3,FALSE),"")</f>
        <v>FRESH MANGOSTEEN</v>
      </c>
      <c r="I229" s="7" t="s">
        <v>2144</v>
      </c>
      <c r="J229" s="666" t="s">
        <v>2145</v>
      </c>
      <c r="K229" s="736" t="s">
        <v>2146</v>
      </c>
      <c r="L229" s="667" t="s">
        <v>1994</v>
      </c>
      <c r="M229" s="705">
        <v>2</v>
      </c>
      <c r="N229" s="701">
        <v>1.8</v>
      </c>
      <c r="O229" s="708">
        <f>IFERROR(VLOOKUP(C229,DATA!$A$11:$L$71,6,FALSE),"")</f>
        <v>8.5</v>
      </c>
      <c r="P229" s="708">
        <f>IFERROR(VLOOKUP(C229,DATA!$A$11:$L$71,7,FALSE),"")</f>
        <v>7</v>
      </c>
      <c r="Q229" s="697">
        <v>2550</v>
      </c>
      <c r="R229" s="668" t="str">
        <f>IFERROR(VLOOKUP(C229,DATA!$A$11:$L$71,9,FALSE),"")</f>
        <v>PLASTIC BASKETS</v>
      </c>
      <c r="S229" s="750">
        <v>10</v>
      </c>
      <c r="T229" s="669" t="str">
        <f>IFERROR(VLOOKUP(C229,DATA!$A$11:$L$71,11,FALSE),"")</f>
        <v>5%</v>
      </c>
      <c r="U229" s="670" t="str">
        <f>IFERROR(VLOOKUP(C229,DATA!$A$11:$L$71,12,FALSE),"")</f>
        <v>BEIJING JUNYAO INTERNATIONAL</v>
      </c>
      <c r="V229" s="662" t="s">
        <v>1525</v>
      </c>
      <c r="W229" s="662" t="s">
        <v>1458</v>
      </c>
      <c r="X229" s="662" t="s">
        <v>192</v>
      </c>
      <c r="Y229" s="662" t="s">
        <v>912</v>
      </c>
      <c r="Z229" s="749">
        <v>45824</v>
      </c>
      <c r="AA229" s="683" t="s">
        <v>2147</v>
      </c>
      <c r="AB229" s="663">
        <v>45827</v>
      </c>
      <c r="AC229" s="663">
        <v>45832</v>
      </c>
      <c r="AD229" s="662" t="s">
        <v>24</v>
      </c>
      <c r="AE229" s="662" t="s">
        <v>2149</v>
      </c>
      <c r="AF229" s="668" t="s">
        <v>387</v>
      </c>
      <c r="AG229" s="668" t="s">
        <v>2150</v>
      </c>
      <c r="AH229" s="668" t="s">
        <v>2151</v>
      </c>
      <c r="AI229" s="668" t="s">
        <v>2152</v>
      </c>
      <c r="AJ229" s="668" t="s">
        <v>197</v>
      </c>
      <c r="AK229" s="721">
        <v>45824</v>
      </c>
      <c r="AL229" s="721"/>
      <c r="AM229" s="721"/>
      <c r="AN229" s="722"/>
      <c r="AO229" s="722"/>
      <c r="AP229" s="669"/>
      <c r="AQ229" s="674"/>
      <c r="AR229" s="674"/>
      <c r="AS229" s="774" t="s">
        <v>1669</v>
      </c>
      <c r="AT229" s="675">
        <v>2325199</v>
      </c>
      <c r="AU229" s="676">
        <f t="shared" ca="1" si="15"/>
        <v>45824.586073611114</v>
      </c>
      <c r="AV229" s="677" t="s">
        <v>2213</v>
      </c>
    </row>
    <row r="230" spans="1:50" s="772" customFormat="1" ht="18" customHeight="1">
      <c r="A230" s="751" t="s">
        <v>1995</v>
      </c>
      <c r="B230" s="752">
        <v>45824</v>
      </c>
      <c r="C230" s="751" t="s">
        <v>2154</v>
      </c>
      <c r="D230" s="753">
        <v>1</v>
      </c>
      <c r="E230" s="751" t="s">
        <v>2155</v>
      </c>
      <c r="F230" s="751" t="s">
        <v>2156</v>
      </c>
      <c r="G230" s="753" t="s">
        <v>2246</v>
      </c>
      <c r="H230" s="751" t="str">
        <f>IFERROR(VLOOKUP(C230,DATA!$A$11:$L$64,3,FALSE),"")</f>
        <v>FRESH MANGOSTEEN</v>
      </c>
      <c r="I230" s="754" t="s">
        <v>2153</v>
      </c>
      <c r="J230" s="754" t="s">
        <v>2158</v>
      </c>
      <c r="K230" s="755" t="s">
        <v>2159</v>
      </c>
      <c r="L230" s="756" t="s">
        <v>1995</v>
      </c>
      <c r="M230" s="807">
        <v>1.1499999999999999</v>
      </c>
      <c r="N230" s="794">
        <v>1</v>
      </c>
      <c r="O230" s="794">
        <v>24</v>
      </c>
      <c r="P230" s="794">
        <v>20</v>
      </c>
      <c r="Q230" s="789">
        <v>960</v>
      </c>
      <c r="R230" s="760" t="str">
        <f>IFERROR(VLOOKUP(C230,DATA!$A$11:$L$71,9,FALSE),"")</f>
        <v>PLASTIC BASKETS</v>
      </c>
      <c r="S230" s="777">
        <v>9</v>
      </c>
      <c r="T230" s="761" t="str">
        <f>IFERROR(VLOOKUP(C230,DATA!$A$11:$L$71,11,FALSE),"")</f>
        <v>5%</v>
      </c>
      <c r="U230" s="762" t="str">
        <f>IFERROR(VLOOKUP(C230,DATA!$A$11:$L$71,12,FALSE),"")</f>
        <v>Yiwu Yu Mo Supply Chain Management Co. , Ltd.</v>
      </c>
      <c r="V230" s="751" t="s">
        <v>1525</v>
      </c>
      <c r="W230" s="751" t="s">
        <v>1458</v>
      </c>
      <c r="X230" s="751" t="s">
        <v>192</v>
      </c>
      <c r="Y230" s="751" t="s">
        <v>912</v>
      </c>
      <c r="Z230" s="763">
        <v>45824</v>
      </c>
      <c r="AA230" s="764" t="s">
        <v>2147</v>
      </c>
      <c r="AB230" s="763">
        <v>45827</v>
      </c>
      <c r="AC230" s="763">
        <v>45832</v>
      </c>
      <c r="AD230" s="751" t="s">
        <v>24</v>
      </c>
      <c r="AE230" s="751" t="s">
        <v>2149</v>
      </c>
      <c r="AF230" s="760" t="s">
        <v>387</v>
      </c>
      <c r="AG230" s="760" t="s">
        <v>1339</v>
      </c>
      <c r="AH230" s="760" t="s">
        <v>1340</v>
      </c>
      <c r="AI230" s="760" t="s">
        <v>2011</v>
      </c>
      <c r="AJ230" s="760" t="s">
        <v>197</v>
      </c>
      <c r="AK230" s="765">
        <v>45824</v>
      </c>
      <c r="AL230" s="765"/>
      <c r="AM230" s="765"/>
      <c r="AN230" s="766"/>
      <c r="AO230" s="766"/>
      <c r="AP230" s="761"/>
      <c r="AQ230" s="767"/>
      <c r="AR230" s="767"/>
      <c r="AS230" s="768" t="s">
        <v>1669</v>
      </c>
      <c r="AT230" s="781">
        <v>2326396</v>
      </c>
      <c r="AU230" s="770">
        <f t="shared" ref="AU230" ca="1" si="16">IF(E230&lt;&gt;"",IF(AU230="",NOW(),AU230),"")</f>
        <v>45824.598566782406</v>
      </c>
      <c r="AV230" s="771" t="s">
        <v>2247</v>
      </c>
    </row>
    <row r="231" spans="1:50" s="583" customFormat="1" ht="18" customHeight="1">
      <c r="A231" s="566" t="s">
        <v>2114</v>
      </c>
      <c r="B231" s="773">
        <v>45824</v>
      </c>
      <c r="C231" s="566" t="s">
        <v>1642</v>
      </c>
      <c r="D231" s="568">
        <v>11</v>
      </c>
      <c r="E231" s="566" t="s">
        <v>1630</v>
      </c>
      <c r="F231" s="566" t="s">
        <v>1631</v>
      </c>
      <c r="G231" s="568" t="s">
        <v>1738</v>
      </c>
      <c r="H231" s="566" t="str">
        <f>IFERROR(VLOOKUP(C231,DATA!$A$11:$L$64,3,FALSE),"")</f>
        <v>FRESH MANGOSTEEN</v>
      </c>
      <c r="I231" s="569" t="s">
        <v>2157</v>
      </c>
      <c r="J231" s="569" t="s">
        <v>2170</v>
      </c>
      <c r="K231" s="569" t="s">
        <v>2171</v>
      </c>
      <c r="L231" s="570" t="s">
        <v>2114</v>
      </c>
      <c r="M231" s="680">
        <v>10</v>
      </c>
      <c r="N231" s="718">
        <v>1.22</v>
      </c>
      <c r="O231" s="572">
        <f>IFERROR(VLOOKUP(C231,DATA!$A$11:$L$71,6,FALSE),"")</f>
        <v>8.3000000000000007</v>
      </c>
      <c r="P231" s="572">
        <f>IFERROR(VLOOKUP(C231,DATA!$A$11:$L$71,7,FALSE),"")</f>
        <v>7</v>
      </c>
      <c r="Q231" s="573">
        <f>IFERROR(VLOOKUP(C231,DATA!$A$11:$L$71,8,FALSE),"")</f>
        <v>2400</v>
      </c>
      <c r="R231" s="574" t="str">
        <f>IFERROR(VLOOKUP(C231,DATA!$A$11:$L$71,9,FALSE),"")</f>
        <v>PLASTIC BASKETS</v>
      </c>
      <c r="S231" s="575">
        <f>IFERROR(VLOOKUP(C231,DATA!$A$11:$L$71,10,FALSE),"")</f>
        <v>12</v>
      </c>
      <c r="T231" s="576" t="str">
        <f>IFERROR(VLOOKUP(C231,DATA!$A$11:$L$71,11,FALSE),"")</f>
        <v>5%</v>
      </c>
      <c r="U231" s="577" t="str">
        <f>IFERROR(VLOOKUP(C231,DATA!$A$11:$L$71,12,FALSE),"")</f>
        <v>GUOSHEN(JIANGSU) INTERNATIONAL TRADE CO., LTD</v>
      </c>
      <c r="V231" s="566" t="s">
        <v>1525</v>
      </c>
      <c r="W231" s="566" t="s">
        <v>1458</v>
      </c>
      <c r="X231" s="566" t="s">
        <v>192</v>
      </c>
      <c r="Y231" s="566" t="s">
        <v>912</v>
      </c>
      <c r="Z231" s="773">
        <v>45824</v>
      </c>
      <c r="AA231" s="584" t="s">
        <v>2147</v>
      </c>
      <c r="AB231" s="567">
        <v>45827</v>
      </c>
      <c r="AC231" s="567">
        <v>45832</v>
      </c>
      <c r="AD231" s="566" t="s">
        <v>24</v>
      </c>
      <c r="AE231" s="566" t="s">
        <v>2149</v>
      </c>
      <c r="AF231" s="574" t="s">
        <v>387</v>
      </c>
      <c r="AG231" s="574" t="s">
        <v>2050</v>
      </c>
      <c r="AH231" s="574" t="s">
        <v>2051</v>
      </c>
      <c r="AI231" s="574" t="s">
        <v>2168</v>
      </c>
      <c r="AJ231" s="574" t="s">
        <v>197</v>
      </c>
      <c r="AK231" s="716">
        <v>45824</v>
      </c>
      <c r="AL231" s="716"/>
      <c r="AM231" s="716"/>
      <c r="AN231" s="717"/>
      <c r="AO231" s="717"/>
      <c r="AP231" s="576"/>
      <c r="AQ231" s="581"/>
      <c r="AR231" s="581"/>
      <c r="AS231" s="582" t="s">
        <v>1669</v>
      </c>
      <c r="AT231" s="694">
        <v>2325514</v>
      </c>
      <c r="AU231" s="601">
        <f t="shared" ca="1" si="15"/>
        <v>45824.639045717595</v>
      </c>
      <c r="AV231" s="600" t="s">
        <v>2252</v>
      </c>
    </row>
    <row r="232" spans="1:50" s="678" customFormat="1" ht="18" customHeight="1">
      <c r="A232" s="665" t="s">
        <v>2115</v>
      </c>
      <c r="B232" s="749">
        <v>45824</v>
      </c>
      <c r="C232" s="662" t="s">
        <v>1444</v>
      </c>
      <c r="D232" s="664">
        <v>22</v>
      </c>
      <c r="E232" s="665" t="s">
        <v>1545</v>
      </c>
      <c r="F232" s="662" t="s">
        <v>1546</v>
      </c>
      <c r="G232" s="664" t="s">
        <v>2172</v>
      </c>
      <c r="H232" s="662" t="str">
        <f>IFERROR(VLOOKUP(C232,DATA!$A$11:$L$64,3,FALSE),"")</f>
        <v>FRESH MANGOSTEEN</v>
      </c>
      <c r="I232" s="666" t="s">
        <v>2161</v>
      </c>
      <c r="J232" s="666" t="s">
        <v>2172</v>
      </c>
      <c r="K232" s="666" t="s">
        <v>2173</v>
      </c>
      <c r="L232" s="667" t="s">
        <v>2115</v>
      </c>
      <c r="M232" s="705">
        <v>2</v>
      </c>
      <c r="N232" s="701">
        <v>1.8</v>
      </c>
      <c r="O232" s="708">
        <f>IFERROR(VLOOKUP(C232,DATA!$A$11:$L$71,6,FALSE),"")</f>
        <v>8.5</v>
      </c>
      <c r="P232" s="708">
        <f>IFERROR(VLOOKUP(C232,DATA!$A$11:$L$71,7,FALSE),"")</f>
        <v>7</v>
      </c>
      <c r="Q232" s="697">
        <v>1734</v>
      </c>
      <c r="R232" s="668" t="str">
        <f>IFERROR(VLOOKUP(C232,DATA!$A$11:$L$71,9,FALSE),"")</f>
        <v>PLASTIC BASKETS</v>
      </c>
      <c r="S232" s="679">
        <v>10</v>
      </c>
      <c r="T232" s="669" t="str">
        <f>IFERROR(VLOOKUP(C232,DATA!$A$11:$L$71,11,FALSE),"")</f>
        <v>5%</v>
      </c>
      <c r="U232" s="670" t="str">
        <f>IFERROR(VLOOKUP(C232,DATA!$A$11:$L$71,12,FALSE),"")</f>
        <v>BEIJING JUNYAO INTERNATIONAL</v>
      </c>
      <c r="V232" s="662" t="s">
        <v>1525</v>
      </c>
      <c r="W232" s="662" t="s">
        <v>1408</v>
      </c>
      <c r="X232" s="662" t="s">
        <v>192</v>
      </c>
      <c r="Y232" s="662" t="s">
        <v>1233</v>
      </c>
      <c r="Z232" s="663">
        <v>45824</v>
      </c>
      <c r="AA232" s="683" t="s">
        <v>2166</v>
      </c>
      <c r="AB232" s="663">
        <v>45828</v>
      </c>
      <c r="AC232" s="663">
        <v>45832</v>
      </c>
      <c r="AD232" s="662" t="s">
        <v>24</v>
      </c>
      <c r="AE232" s="662" t="s">
        <v>2167</v>
      </c>
      <c r="AF232" s="668" t="s">
        <v>387</v>
      </c>
      <c r="AG232" s="668" t="s">
        <v>1949</v>
      </c>
      <c r="AH232" s="668" t="s">
        <v>1595</v>
      </c>
      <c r="AI232" s="668" t="s">
        <v>1950</v>
      </c>
      <c r="AJ232" s="668" t="s">
        <v>197</v>
      </c>
      <c r="AK232" s="721">
        <v>45824</v>
      </c>
      <c r="AL232" s="721"/>
      <c r="AM232" s="721"/>
      <c r="AN232" s="722"/>
      <c r="AO232" s="722"/>
      <c r="AP232" s="669"/>
      <c r="AQ232" s="674"/>
      <c r="AR232" s="674"/>
      <c r="AS232" s="774" t="s">
        <v>1669</v>
      </c>
      <c r="AT232" s="675">
        <v>2325910</v>
      </c>
      <c r="AU232" s="676">
        <f t="shared" ca="1" si="15"/>
        <v>45824.733063310188</v>
      </c>
      <c r="AV232" s="677" t="s">
        <v>2214</v>
      </c>
    </row>
    <row r="233" spans="1:50" s="678" customFormat="1" ht="18" customHeight="1">
      <c r="A233" s="665" t="s">
        <v>2116</v>
      </c>
      <c r="B233" s="749">
        <v>45824</v>
      </c>
      <c r="C233" s="662" t="s">
        <v>1444</v>
      </c>
      <c r="D233" s="664">
        <v>23</v>
      </c>
      <c r="E233" s="665" t="s">
        <v>1545</v>
      </c>
      <c r="F233" s="662" t="s">
        <v>1546</v>
      </c>
      <c r="G233" s="664" t="s">
        <v>2174</v>
      </c>
      <c r="H233" s="662" t="str">
        <f>IFERROR(VLOOKUP(C233,DATA!$A$11:$L$64,3,FALSE),"")</f>
        <v>FRESH MANGOSTEEN</v>
      </c>
      <c r="I233" s="666" t="s">
        <v>2162</v>
      </c>
      <c r="J233" s="666" t="s">
        <v>2174</v>
      </c>
      <c r="K233" s="666" t="s">
        <v>2175</v>
      </c>
      <c r="L233" s="667" t="s">
        <v>2116</v>
      </c>
      <c r="M233" s="705">
        <v>2</v>
      </c>
      <c r="N233" s="701">
        <v>1.8</v>
      </c>
      <c r="O233" s="708">
        <f>IFERROR(VLOOKUP(C233,DATA!$A$11:$L$71,6,FALSE),"")</f>
        <v>8.5</v>
      </c>
      <c r="P233" s="708">
        <f>IFERROR(VLOOKUP(C233,DATA!$A$11:$L$71,7,FALSE),"")</f>
        <v>7</v>
      </c>
      <c r="Q233" s="706">
        <f>IFERROR(VLOOKUP(C233,DATA!$A$11:$L$71,8,FALSE),"")</f>
        <v>2100</v>
      </c>
      <c r="R233" s="668" t="str">
        <f>IFERROR(VLOOKUP(C233,DATA!$A$11:$L$71,9,FALSE),"")</f>
        <v>PLASTIC BASKETS</v>
      </c>
      <c r="S233" s="679">
        <v>10</v>
      </c>
      <c r="T233" s="669" t="str">
        <f>IFERROR(VLOOKUP(C233,DATA!$A$11:$L$71,11,FALSE),"")</f>
        <v>5%</v>
      </c>
      <c r="U233" s="670" t="str">
        <f>IFERROR(VLOOKUP(C233,DATA!$A$11:$L$71,12,FALSE),"")</f>
        <v>BEIJING JUNYAO INTERNATIONAL</v>
      </c>
      <c r="V233" s="662" t="s">
        <v>1525</v>
      </c>
      <c r="W233" s="662" t="s">
        <v>1408</v>
      </c>
      <c r="X233" s="662" t="s">
        <v>192</v>
      </c>
      <c r="Y233" s="662" t="s">
        <v>1233</v>
      </c>
      <c r="Z233" s="663">
        <v>45824</v>
      </c>
      <c r="AA233" s="683" t="s">
        <v>2166</v>
      </c>
      <c r="AB233" s="663">
        <v>45828</v>
      </c>
      <c r="AC233" s="663">
        <v>45832</v>
      </c>
      <c r="AD233" s="662" t="s">
        <v>24</v>
      </c>
      <c r="AE233" s="662" t="s">
        <v>2167</v>
      </c>
      <c r="AF233" s="668" t="s">
        <v>387</v>
      </c>
      <c r="AG233" s="784" t="s">
        <v>1505</v>
      </c>
      <c r="AH233" s="784" t="s">
        <v>1506</v>
      </c>
      <c r="AI233" s="784" t="s">
        <v>1507</v>
      </c>
      <c r="AJ233" s="668" t="s">
        <v>197</v>
      </c>
      <c r="AK233" s="721">
        <v>45824</v>
      </c>
      <c r="AL233" s="721"/>
      <c r="AM233" s="721"/>
      <c r="AN233" s="722"/>
      <c r="AO233" s="722"/>
      <c r="AP233" s="669"/>
      <c r="AQ233" s="674"/>
      <c r="AR233" s="674"/>
      <c r="AS233" s="776" t="s">
        <v>1669</v>
      </c>
      <c r="AT233" s="675">
        <v>2325912</v>
      </c>
      <c r="AU233" s="676">
        <f t="shared" ca="1" si="15"/>
        <v>45824.733071296294</v>
      </c>
      <c r="AV233" s="677" t="s">
        <v>2212</v>
      </c>
    </row>
    <row r="234" spans="1:50" s="273" customFormat="1" ht="18" customHeight="1">
      <c r="A234" s="704" t="s">
        <v>2117</v>
      </c>
      <c r="B234" s="775">
        <v>45824</v>
      </c>
      <c r="C234" s="691" t="s">
        <v>1903</v>
      </c>
      <c r="D234" s="258">
        <v>9</v>
      </c>
      <c r="E234" s="256" t="s">
        <v>1591</v>
      </c>
      <c r="F234" s="256" t="s">
        <v>1575</v>
      </c>
      <c r="G234" s="258" t="s">
        <v>2176</v>
      </c>
      <c r="H234" s="256" t="str">
        <f>IFERROR(VLOOKUP(C234,DATA!$A$11:$L$64,3,FALSE),"")</f>
        <v>FRESH MANGOSTEEN</v>
      </c>
      <c r="I234" s="315" t="s">
        <v>2163</v>
      </c>
      <c r="J234" s="315" t="s">
        <v>2176</v>
      </c>
      <c r="K234" s="315" t="s">
        <v>2177</v>
      </c>
      <c r="L234" s="261" t="s">
        <v>2117</v>
      </c>
      <c r="M234" s="262">
        <f>IFERROR(VLOOKUP(C234,DATA!$A$11:$L$71,4,FALSE),"")</f>
        <v>2</v>
      </c>
      <c r="N234" s="263">
        <f>IFERROR(VLOOKUP(C234,DATA!$A$11:$L$71,5,FALSE),"")</f>
        <v>1.8</v>
      </c>
      <c r="O234" s="263">
        <f>IFERROR(VLOOKUP(C234,DATA!$A$11:$L$71,6,FALSE),"")</f>
        <v>8.5</v>
      </c>
      <c r="P234" s="263">
        <f>IFERROR(VLOOKUP(C234,DATA!$A$11:$L$71,7,FALSE),"")</f>
        <v>7</v>
      </c>
      <c r="Q234" s="264">
        <f>IFERROR(VLOOKUP(C234,DATA!$A$11:$L$71,8,FALSE),"")</f>
        <v>2400</v>
      </c>
      <c r="R234" s="265" t="str">
        <f>IFERROR(VLOOKUP(C234,DATA!$A$11:$L$71,9,FALSE),"")</f>
        <v>PLASTIC BASKETS</v>
      </c>
      <c r="S234" s="266">
        <f>IFERROR(VLOOKUP(C234,DATA!$A$11:$L$71,10,FALSE),"")</f>
        <v>10</v>
      </c>
      <c r="T234" s="267" t="str">
        <f>IFERROR(VLOOKUP(C234,DATA!$A$11:$L$71,11,FALSE),"")</f>
        <v>10%</v>
      </c>
      <c r="U234" s="259" t="str">
        <f>IFERROR(VLOOKUP(C234,DATA!$A$11:$L$71,12,FALSE),"")</f>
        <v>BEIJING JUNYAO INTERNATIONAL</v>
      </c>
      <c r="V234" s="256" t="s">
        <v>1525</v>
      </c>
      <c r="W234" s="256" t="s">
        <v>1408</v>
      </c>
      <c r="X234" s="256" t="s">
        <v>192</v>
      </c>
      <c r="Y234" s="256" t="s">
        <v>1233</v>
      </c>
      <c r="Z234" s="257">
        <v>45824</v>
      </c>
      <c r="AA234" s="689" t="s">
        <v>2166</v>
      </c>
      <c r="AB234" s="257">
        <v>45828</v>
      </c>
      <c r="AC234" s="257">
        <v>45832</v>
      </c>
      <c r="AD234" s="256" t="s">
        <v>24</v>
      </c>
      <c r="AE234" s="256" t="s">
        <v>2167</v>
      </c>
      <c r="AF234" s="265" t="s">
        <v>387</v>
      </c>
      <c r="AG234" s="265" t="s">
        <v>2169</v>
      </c>
      <c r="AH234" s="265" t="s">
        <v>389</v>
      </c>
      <c r="AI234" s="785" t="s">
        <v>1668</v>
      </c>
      <c r="AJ234" s="265" t="s">
        <v>197</v>
      </c>
      <c r="AK234" s="723">
        <v>45824</v>
      </c>
      <c r="AL234" s="723"/>
      <c r="AM234" s="723"/>
      <c r="AN234" s="724"/>
      <c r="AO234" s="724"/>
      <c r="AP234" s="267"/>
      <c r="AQ234" s="272"/>
      <c r="AR234" s="272"/>
      <c r="AS234" s="543" t="s">
        <v>1669</v>
      </c>
      <c r="AT234" s="613">
        <v>2325914</v>
      </c>
      <c r="AU234" s="690">
        <f t="shared" ca="1" si="15"/>
        <v>45824.733265393515</v>
      </c>
      <c r="AV234" s="591" t="s">
        <v>2216</v>
      </c>
    </row>
    <row r="235" spans="1:50" s="772" customFormat="1" ht="18" customHeight="1">
      <c r="A235" s="786" t="s">
        <v>2118</v>
      </c>
      <c r="B235" s="752">
        <v>45824</v>
      </c>
      <c r="C235" s="751" t="s">
        <v>2154</v>
      </c>
      <c r="D235" s="753">
        <v>2</v>
      </c>
      <c r="E235" s="751" t="s">
        <v>2155</v>
      </c>
      <c r="F235" s="751" t="s">
        <v>2156</v>
      </c>
      <c r="G235" s="753" t="s">
        <v>2246</v>
      </c>
      <c r="H235" s="751" t="str">
        <f>IFERROR(VLOOKUP(C235,DATA!$A$11:$L$64,3,FALSE),"")</f>
        <v>FRESH MANGOSTEEN</v>
      </c>
      <c r="I235" s="754" t="s">
        <v>2164</v>
      </c>
      <c r="J235" s="754" t="s">
        <v>2178</v>
      </c>
      <c r="K235" s="754" t="s">
        <v>2179</v>
      </c>
      <c r="L235" s="756" t="s">
        <v>2118</v>
      </c>
      <c r="M235" s="757">
        <f>IFERROR(VLOOKUP(C235,DATA!$A$11:$L$71,4,FALSE),"")</f>
        <v>75</v>
      </c>
      <c r="N235" s="758">
        <f>IFERROR(VLOOKUP(C235,DATA!$A$11:$L$71,5,FALSE),"")</f>
        <v>2.14</v>
      </c>
      <c r="O235" s="758">
        <f>IFERROR(VLOOKUP(C235,DATA!$A$11:$L$71,6,FALSE),"")</f>
        <v>8.5</v>
      </c>
      <c r="P235" s="758">
        <f>IFERROR(VLOOKUP(C235,DATA!$A$11:$L$71,7,FALSE),"")</f>
        <v>7</v>
      </c>
      <c r="Q235" s="759">
        <f>IFERROR(VLOOKUP(C235,DATA!$A$11:$L$71,8,FALSE),"")</f>
        <v>2400</v>
      </c>
      <c r="R235" s="760" t="str">
        <f>IFERROR(VLOOKUP(C235,DATA!$A$11:$L$71,9,FALSE),"")</f>
        <v>PLASTIC BASKETS</v>
      </c>
      <c r="S235" s="777">
        <v>9</v>
      </c>
      <c r="T235" s="761" t="str">
        <f>IFERROR(VLOOKUP(C235,DATA!$A$11:$L$71,11,FALSE),"")</f>
        <v>5%</v>
      </c>
      <c r="U235" s="762" t="str">
        <f>IFERROR(VLOOKUP(C235,DATA!$A$11:$L$71,12,FALSE),"")</f>
        <v>Yiwu Yu Mo Supply Chain Management Co. , Ltd.</v>
      </c>
      <c r="V235" s="751" t="s">
        <v>1525</v>
      </c>
      <c r="W235" s="751" t="s">
        <v>1408</v>
      </c>
      <c r="X235" s="751" t="s">
        <v>192</v>
      </c>
      <c r="Y235" s="751" t="s">
        <v>1233</v>
      </c>
      <c r="Z235" s="763">
        <v>45824</v>
      </c>
      <c r="AA235" s="764" t="s">
        <v>2166</v>
      </c>
      <c r="AB235" s="763">
        <v>45828</v>
      </c>
      <c r="AC235" s="763">
        <v>45832</v>
      </c>
      <c r="AD235" s="751" t="s">
        <v>24</v>
      </c>
      <c r="AE235" s="751" t="s">
        <v>2167</v>
      </c>
      <c r="AF235" s="760" t="s">
        <v>387</v>
      </c>
      <c r="AG235" s="783" t="s">
        <v>2181</v>
      </c>
      <c r="AH235" s="783" t="s">
        <v>1581</v>
      </c>
      <c r="AI235" s="783" t="s">
        <v>2182</v>
      </c>
      <c r="AJ235" s="760" t="s">
        <v>197</v>
      </c>
      <c r="AK235" s="765">
        <v>45824</v>
      </c>
      <c r="AL235" s="765"/>
      <c r="AM235" s="765"/>
      <c r="AN235" s="766"/>
      <c r="AO235" s="766"/>
      <c r="AP235" s="761"/>
      <c r="AQ235" s="767"/>
      <c r="AR235" s="767"/>
      <c r="AS235" s="788" t="s">
        <v>1669</v>
      </c>
      <c r="AT235" s="769">
        <v>2325990</v>
      </c>
      <c r="AU235" s="770">
        <f t="shared" ca="1" si="15"/>
        <v>45824.733364583335</v>
      </c>
      <c r="AV235" s="771" t="s">
        <v>2283</v>
      </c>
    </row>
    <row r="236" spans="1:50" s="273" customFormat="1" ht="18" customHeight="1">
      <c r="A236" s="704" t="s">
        <v>2119</v>
      </c>
      <c r="B236" s="775">
        <v>45826</v>
      </c>
      <c r="C236" s="691" t="s">
        <v>1903</v>
      </c>
      <c r="D236" s="258">
        <v>10</v>
      </c>
      <c r="E236" s="256" t="s">
        <v>1591</v>
      </c>
      <c r="F236" s="256" t="s">
        <v>1575</v>
      </c>
      <c r="G236" s="258" t="s">
        <v>2278</v>
      </c>
      <c r="H236" s="256" t="str">
        <f>IFERROR(VLOOKUP(C236,DATA!$A$11:$L$64,3,FALSE),"")</f>
        <v>FRESH MANGOSTEEN</v>
      </c>
      <c r="I236" s="315" t="s">
        <v>2215</v>
      </c>
      <c r="J236" s="315" t="s">
        <v>2278</v>
      </c>
      <c r="K236" s="315" t="s">
        <v>2279</v>
      </c>
      <c r="L236" s="261" t="s">
        <v>2119</v>
      </c>
      <c r="M236" s="262">
        <f>IFERROR(VLOOKUP(C236,DATA!$A$11:$L$71,4,FALSE),"")</f>
        <v>2</v>
      </c>
      <c r="N236" s="263">
        <f>IFERROR(VLOOKUP(C236,DATA!$A$11:$L$71,5,FALSE),"")</f>
        <v>1.8</v>
      </c>
      <c r="O236" s="263">
        <f>IFERROR(VLOOKUP(C236,DATA!$A$11:$L$71,6,FALSE),"")</f>
        <v>8.5</v>
      </c>
      <c r="P236" s="263">
        <f>IFERROR(VLOOKUP(C236,DATA!$A$11:$L$71,7,FALSE),"")</f>
        <v>7</v>
      </c>
      <c r="Q236" s="264">
        <f>IFERROR(VLOOKUP(C236,DATA!$A$11:$L$71,8,FALSE),"")</f>
        <v>2400</v>
      </c>
      <c r="R236" s="265" t="str">
        <f>IFERROR(VLOOKUP(C236,DATA!$A$11:$L$71,9,FALSE),"")</f>
        <v>PLASTIC BASKETS</v>
      </c>
      <c r="S236" s="266">
        <f>IFERROR(VLOOKUP(C236,DATA!$A$11:$L$71,10,FALSE),"")</f>
        <v>10</v>
      </c>
      <c r="T236" s="267" t="str">
        <f>IFERROR(VLOOKUP(C236,DATA!$A$11:$L$71,11,FALSE),"")</f>
        <v>10%</v>
      </c>
      <c r="U236" s="259" t="str">
        <f>IFERROR(VLOOKUP(C236,DATA!$A$11:$L$71,12,FALSE),"")</f>
        <v>BEIJING JUNYAO INTERNATIONAL</v>
      </c>
      <c r="V236" s="256" t="s">
        <v>1525</v>
      </c>
      <c r="W236" s="256" t="s">
        <v>686</v>
      </c>
      <c r="X236" s="256" t="s">
        <v>192</v>
      </c>
      <c r="Y236" s="256" t="s">
        <v>864</v>
      </c>
      <c r="Z236" s="257">
        <v>45826</v>
      </c>
      <c r="AA236" s="689" t="s">
        <v>2288</v>
      </c>
      <c r="AB236" s="257">
        <v>45829</v>
      </c>
      <c r="AC236" s="257">
        <v>45832</v>
      </c>
      <c r="AD236" s="256" t="s">
        <v>13</v>
      </c>
      <c r="AE236" s="256" t="s">
        <v>2220</v>
      </c>
      <c r="AF236" s="265" t="s">
        <v>387</v>
      </c>
      <c r="AG236" s="256" t="s">
        <v>2150</v>
      </c>
      <c r="AH236" s="265" t="s">
        <v>2228</v>
      </c>
      <c r="AI236" s="265" t="s">
        <v>2229</v>
      </c>
      <c r="AJ236" s="265" t="s">
        <v>197</v>
      </c>
      <c r="AK236" s="723">
        <v>45826</v>
      </c>
      <c r="AL236" s="723"/>
      <c r="AM236" s="723"/>
      <c r="AN236" s="724"/>
      <c r="AO236" s="724"/>
      <c r="AP236" s="267"/>
      <c r="AQ236" s="272"/>
      <c r="AR236" s="272"/>
      <c r="AS236" s="543" t="s">
        <v>1669</v>
      </c>
      <c r="AT236" s="613">
        <v>2329765</v>
      </c>
      <c r="AU236" s="690" t="str">
        <f t="shared" ca="1" si="15"/>
        <v/>
      </c>
      <c r="AV236" s="591" t="s">
        <v>2295</v>
      </c>
    </row>
    <row r="237" spans="1:50" s="678" customFormat="1" ht="18" customHeight="1">
      <c r="A237" s="662" t="s">
        <v>2120</v>
      </c>
      <c r="B237" s="749">
        <v>45826</v>
      </c>
      <c r="C237" s="662" t="s">
        <v>1444</v>
      </c>
      <c r="D237" s="664">
        <v>24</v>
      </c>
      <c r="E237" s="665" t="s">
        <v>1545</v>
      </c>
      <c r="F237" s="662" t="s">
        <v>1546</v>
      </c>
      <c r="G237" s="662" t="s">
        <v>2297</v>
      </c>
      <c r="H237" s="662" t="str">
        <f>IFERROR(VLOOKUP(C237,DATA!$A$11:$L$64,3,FALSE),"")</f>
        <v>FRESH MANGOSTEEN</v>
      </c>
      <c r="I237" s="666" t="s">
        <v>2217</v>
      </c>
      <c r="J237" s="666" t="s">
        <v>2297</v>
      </c>
      <c r="K237" s="666" t="s">
        <v>2298</v>
      </c>
      <c r="L237" s="667" t="s">
        <v>2120</v>
      </c>
      <c r="M237" s="705">
        <v>2</v>
      </c>
      <c r="N237" s="701">
        <v>1.8</v>
      </c>
      <c r="O237" s="708">
        <f>IFERROR(VLOOKUP(C237,DATA!$A$11:$L$71,6,FALSE),"")</f>
        <v>8.5</v>
      </c>
      <c r="P237" s="708">
        <f>IFERROR(VLOOKUP(C237,DATA!$A$11:$L$71,7,FALSE),"")</f>
        <v>7</v>
      </c>
      <c r="Q237" s="706">
        <f>IFERROR(VLOOKUP(C237,DATA!$A$11:$L$71,8,FALSE),"")</f>
        <v>2100</v>
      </c>
      <c r="R237" s="668" t="str">
        <f>IFERROR(VLOOKUP(C237,DATA!$A$11:$L$71,9,FALSE),"")</f>
        <v>PLASTIC BASKETS</v>
      </c>
      <c r="S237" s="709">
        <v>10</v>
      </c>
      <c r="T237" s="669" t="str">
        <f>IFERROR(VLOOKUP(C237,DATA!$A$11:$L$71,11,FALSE),"")</f>
        <v>5%</v>
      </c>
      <c r="U237" s="670" t="str">
        <f>IFERROR(VLOOKUP(C237,DATA!$A$11:$L$71,12,FALSE),"")</f>
        <v>BEIJING JUNYAO INTERNATIONAL</v>
      </c>
      <c r="V237" s="662" t="s">
        <v>1525</v>
      </c>
      <c r="W237" s="662" t="s">
        <v>686</v>
      </c>
      <c r="X237" s="662" t="s">
        <v>192</v>
      </c>
      <c r="Y237" s="662" t="s">
        <v>864</v>
      </c>
      <c r="Z237" s="663">
        <v>45826</v>
      </c>
      <c r="AA237" s="683" t="s">
        <v>2288</v>
      </c>
      <c r="AB237" s="663">
        <v>45829</v>
      </c>
      <c r="AC237" s="663">
        <v>45832</v>
      </c>
      <c r="AD237" s="662" t="s">
        <v>13</v>
      </c>
      <c r="AE237" s="662" t="s">
        <v>2220</v>
      </c>
      <c r="AF237" s="668" t="s">
        <v>201</v>
      </c>
      <c r="AG237" s="668" t="s">
        <v>1461</v>
      </c>
      <c r="AH237" s="668" t="s">
        <v>1462</v>
      </c>
      <c r="AI237" s="668" t="s">
        <v>2300</v>
      </c>
      <c r="AJ237" s="668" t="s">
        <v>197</v>
      </c>
      <c r="AK237" s="721">
        <v>45826</v>
      </c>
      <c r="AL237" s="721"/>
      <c r="AM237" s="721"/>
      <c r="AN237" s="722"/>
      <c r="AO237" s="722"/>
      <c r="AP237" s="669"/>
      <c r="AQ237" s="674"/>
      <c r="AR237" s="674"/>
      <c r="AS237" s="793" t="s">
        <v>1669</v>
      </c>
      <c r="AT237" s="675">
        <v>2329776</v>
      </c>
      <c r="AU237" s="676" t="str">
        <f t="shared" ca="1" si="15"/>
        <v/>
      </c>
      <c r="AV237" s="677" t="s">
        <v>2301</v>
      </c>
    </row>
    <row r="238" spans="1:50" ht="18" customHeight="1">
      <c r="A238" s="6" t="s">
        <v>2121</v>
      </c>
      <c r="B238" s="748">
        <v>45826</v>
      </c>
      <c r="C238" s="787" t="s">
        <v>1562</v>
      </c>
      <c r="D238" s="30">
        <v>16</v>
      </c>
      <c r="E238" s="6" t="s">
        <v>1563</v>
      </c>
      <c r="F238" s="6" t="s">
        <v>1564</v>
      </c>
      <c r="G238" s="30" t="s">
        <v>2274</v>
      </c>
      <c r="H238" s="6" t="str">
        <f>IFERROR(VLOOKUP(C238,DATA!$A$11:$L$64,3,FALSE),"")</f>
        <v>FRESH MANGOSTEEN</v>
      </c>
      <c r="I238" s="7" t="s">
        <v>2218</v>
      </c>
      <c r="J238" s="7" t="s">
        <v>2274</v>
      </c>
      <c r="K238" s="7" t="s">
        <v>2275</v>
      </c>
      <c r="L238" s="62" t="s">
        <v>2121</v>
      </c>
      <c r="M238" s="191">
        <f>IFERROR(VLOOKUP(C238,DATA!$A$11:$L$71,4,FALSE),"")</f>
        <v>1.67</v>
      </c>
      <c r="N238" s="192">
        <f>IFERROR(VLOOKUP(C238,DATA!$A$11:$L$71,5,FALSE),"")</f>
        <v>1.55</v>
      </c>
      <c r="O238" s="192">
        <f>IFERROR(VLOOKUP(C238,DATA!$A$11:$L$71,6,FALSE),"")</f>
        <v>16</v>
      </c>
      <c r="P238" s="192">
        <f>IFERROR(VLOOKUP(C238,DATA!$A$11:$L$71,7,FALSE),"")</f>
        <v>14</v>
      </c>
      <c r="Q238" s="193">
        <f>IFERROR(VLOOKUP(C238,DATA!$A$11:$L$71,8,FALSE),"")</f>
        <v>1350</v>
      </c>
      <c r="R238" s="194" t="str">
        <f>IFERROR(VLOOKUP(C238,DATA!$A$11:$L$71,9,FALSE),"")</f>
        <v>PLASTIC BASKETS</v>
      </c>
      <c r="S238" s="506">
        <v>11</v>
      </c>
      <c r="T238" s="196" t="str">
        <f>IFERROR(VLOOKUP(C238,DATA!$A$11:$L$71,11,FALSE),"")</f>
        <v>5%</v>
      </c>
      <c r="U238" s="32" t="str">
        <f>IFERROR(VLOOKUP(C238,DATA!$A$11:$L$71,12,FALSE),"")</f>
        <v>Yunnan Xinjiyi Agricultural Technology CO.,Ltd.</v>
      </c>
      <c r="V238" s="6" t="s">
        <v>1525</v>
      </c>
      <c r="W238" s="6" t="s">
        <v>1322</v>
      </c>
      <c r="X238" s="6" t="s">
        <v>192</v>
      </c>
      <c r="Y238" s="6" t="s">
        <v>231</v>
      </c>
      <c r="Z238" s="60">
        <v>45826</v>
      </c>
      <c r="AA238" s="318" t="s">
        <v>2288</v>
      </c>
      <c r="AB238" s="60">
        <v>45828</v>
      </c>
      <c r="AC238" s="60">
        <v>45834</v>
      </c>
      <c r="AD238" s="6" t="s">
        <v>40</v>
      </c>
      <c r="AE238" s="6" t="s">
        <v>2180</v>
      </c>
      <c r="AF238" s="194" t="s">
        <v>387</v>
      </c>
      <c r="AG238" s="194" t="s">
        <v>1954</v>
      </c>
      <c r="AH238" s="194" t="s">
        <v>1955</v>
      </c>
      <c r="AI238" s="194" t="s">
        <v>1956</v>
      </c>
      <c r="AJ238" s="194" t="s">
        <v>197</v>
      </c>
      <c r="AK238" s="715">
        <v>45826</v>
      </c>
      <c r="AL238" s="715"/>
      <c r="AM238" s="715"/>
      <c r="AN238" s="227"/>
      <c r="AO238" s="227"/>
      <c r="AP238" s="196"/>
      <c r="AQ238" s="59"/>
      <c r="AR238" s="59"/>
      <c r="AS238" s="541" t="s">
        <v>1687</v>
      </c>
      <c r="AT238" s="611">
        <v>2329798</v>
      </c>
      <c r="AU238" s="602" t="str">
        <f t="shared" ca="1" si="15"/>
        <v/>
      </c>
      <c r="AV238" s="588" t="s">
        <v>2293</v>
      </c>
    </row>
    <row r="239" spans="1:50" ht="18" customHeight="1">
      <c r="A239" s="6" t="s">
        <v>2122</v>
      </c>
      <c r="B239" s="748">
        <v>45826</v>
      </c>
      <c r="C239" s="787" t="s">
        <v>1562</v>
      </c>
      <c r="D239" s="30">
        <v>17</v>
      </c>
      <c r="E239" s="6" t="s">
        <v>1563</v>
      </c>
      <c r="F239" s="6" t="s">
        <v>1564</v>
      </c>
      <c r="G239" s="30" t="s">
        <v>2276</v>
      </c>
      <c r="H239" s="6" t="str">
        <f>IFERROR(VLOOKUP(C239,DATA!$A$11:$L$64,3,FALSE),"")</f>
        <v>FRESH MANGOSTEEN</v>
      </c>
      <c r="I239" s="7" t="s">
        <v>2219</v>
      </c>
      <c r="J239" s="7" t="s">
        <v>2276</v>
      </c>
      <c r="K239" s="7" t="s">
        <v>2277</v>
      </c>
      <c r="L239" s="62" t="s">
        <v>2122</v>
      </c>
      <c r="M239" s="191">
        <f>IFERROR(VLOOKUP(C239,DATA!$A$11:$L$71,4,FALSE),"")</f>
        <v>1.67</v>
      </c>
      <c r="N239" s="192">
        <f>IFERROR(VLOOKUP(C239,DATA!$A$11:$L$71,5,FALSE),"")</f>
        <v>1.55</v>
      </c>
      <c r="O239" s="192">
        <f>IFERROR(VLOOKUP(C239,DATA!$A$11:$L$71,6,FALSE),"")</f>
        <v>16</v>
      </c>
      <c r="P239" s="192">
        <f>IFERROR(VLOOKUP(C239,DATA!$A$11:$L$71,7,FALSE),"")</f>
        <v>14</v>
      </c>
      <c r="Q239" s="193">
        <f>IFERROR(VLOOKUP(C239,DATA!$A$11:$L$71,8,FALSE),"")</f>
        <v>1350</v>
      </c>
      <c r="R239" s="194" t="str">
        <f>IFERROR(VLOOKUP(C239,DATA!$A$11:$L$71,9,FALSE),"")</f>
        <v>PLASTIC BASKETS</v>
      </c>
      <c r="S239" s="506">
        <v>11</v>
      </c>
      <c r="T239" s="196" t="str">
        <f>IFERROR(VLOOKUP(C239,DATA!$A$11:$L$71,11,FALSE),"")</f>
        <v>5%</v>
      </c>
      <c r="U239" s="32" t="str">
        <f>IFERROR(VLOOKUP(C239,DATA!$A$11:$L$71,12,FALSE),"")</f>
        <v>Yunnan Xinjiyi Agricultural Technology CO.,Ltd.</v>
      </c>
      <c r="V239" s="6" t="s">
        <v>1525</v>
      </c>
      <c r="W239" s="6" t="s">
        <v>1322</v>
      </c>
      <c r="X239" s="6" t="s">
        <v>192</v>
      </c>
      <c r="Y239" s="6" t="s">
        <v>231</v>
      </c>
      <c r="Z239" s="60">
        <v>45826</v>
      </c>
      <c r="AA239" s="318" t="s">
        <v>2288</v>
      </c>
      <c r="AB239" s="60">
        <v>45828</v>
      </c>
      <c r="AC239" s="60">
        <v>45834</v>
      </c>
      <c r="AD239" s="6" t="s">
        <v>40</v>
      </c>
      <c r="AE239" s="6" t="s">
        <v>2180</v>
      </c>
      <c r="AF239" s="194" t="s">
        <v>387</v>
      </c>
      <c r="AG239" s="194" t="s">
        <v>2225</v>
      </c>
      <c r="AH239" s="194" t="s">
        <v>1961</v>
      </c>
      <c r="AI239" s="194" t="s">
        <v>2226</v>
      </c>
      <c r="AJ239" s="194" t="s">
        <v>197</v>
      </c>
      <c r="AK239" s="715">
        <v>45826</v>
      </c>
      <c r="AL239" s="715"/>
      <c r="AM239" s="715"/>
      <c r="AN239" s="227"/>
      <c r="AO239" s="227"/>
      <c r="AP239" s="196"/>
      <c r="AQ239" s="59"/>
      <c r="AR239" s="59"/>
      <c r="AS239" s="541" t="s">
        <v>1687</v>
      </c>
      <c r="AT239" s="611">
        <v>2329842</v>
      </c>
      <c r="AU239" s="602" t="str">
        <f t="shared" ca="1" si="15"/>
        <v/>
      </c>
      <c r="AV239" s="588" t="s">
        <v>2294</v>
      </c>
    </row>
    <row r="240" spans="1:50" s="583" customFormat="1" ht="18" customHeight="1">
      <c r="A240" s="566" t="s">
        <v>2123</v>
      </c>
      <c r="B240" s="584" t="s">
        <v>2224</v>
      </c>
      <c r="C240" s="566" t="s">
        <v>1642</v>
      </c>
      <c r="D240" s="568">
        <v>12</v>
      </c>
      <c r="E240" s="566" t="s">
        <v>1630</v>
      </c>
      <c r="F240" s="566" t="s">
        <v>1631</v>
      </c>
      <c r="G240" s="568" t="s">
        <v>1738</v>
      </c>
      <c r="H240" s="566" t="str">
        <f>IFERROR(VLOOKUP(C240,DATA!$A$11:$L$64,3,FALSE),"")</f>
        <v>FRESH MANGOSTEEN</v>
      </c>
      <c r="I240" s="569" t="s">
        <v>2221</v>
      </c>
      <c r="J240" s="569" t="s">
        <v>2280</v>
      </c>
      <c r="K240" s="569" t="s">
        <v>2281</v>
      </c>
      <c r="L240" s="570" t="s">
        <v>2123</v>
      </c>
      <c r="M240" s="571">
        <f>IFERROR(VLOOKUP(C240,DATA!$A$11:$L$71,4,FALSE),"")</f>
        <v>75</v>
      </c>
      <c r="N240" s="572">
        <f>IFERROR(VLOOKUP(C240,DATA!$A$11:$L$71,5,FALSE),"")</f>
        <v>2.14</v>
      </c>
      <c r="O240" s="572">
        <f>IFERROR(VLOOKUP(C240,DATA!$A$11:$L$71,6,FALSE),"")</f>
        <v>8.3000000000000007</v>
      </c>
      <c r="P240" s="572">
        <f>IFERROR(VLOOKUP(C240,DATA!$A$11:$L$71,7,FALSE),"")</f>
        <v>7</v>
      </c>
      <c r="Q240" s="573">
        <f>IFERROR(VLOOKUP(C240,DATA!$A$11:$L$71,8,FALSE),"")</f>
        <v>2400</v>
      </c>
      <c r="R240" s="574" t="str">
        <f>IFERROR(VLOOKUP(C240,DATA!$A$11:$L$71,9,FALSE),"")</f>
        <v>PLASTIC BASKETS</v>
      </c>
      <c r="S240" s="575">
        <f>IFERROR(VLOOKUP(C240,DATA!$A$11:$L$71,10,FALSE),"")</f>
        <v>12</v>
      </c>
      <c r="T240" s="576" t="str">
        <f>IFERROR(VLOOKUP(C240,DATA!$A$11:$L$71,11,FALSE),"")</f>
        <v>5%</v>
      </c>
      <c r="U240" s="577" t="str">
        <f>IFERROR(VLOOKUP(C240,DATA!$A$11:$L$71,12,FALSE),"")</f>
        <v>GUOSHEN(JIANGSU) INTERNATIONAL TRADE CO., LTD</v>
      </c>
      <c r="V240" s="566" t="s">
        <v>1525</v>
      </c>
      <c r="W240" s="566" t="s">
        <v>686</v>
      </c>
      <c r="X240" s="566" t="s">
        <v>192</v>
      </c>
      <c r="Y240" s="566" t="s">
        <v>864</v>
      </c>
      <c r="Z240" s="567">
        <v>45826</v>
      </c>
      <c r="AA240" s="584" t="s">
        <v>2288</v>
      </c>
      <c r="AB240" s="567">
        <v>45829</v>
      </c>
      <c r="AC240" s="567">
        <v>45832</v>
      </c>
      <c r="AD240" s="566" t="s">
        <v>13</v>
      </c>
      <c r="AE240" s="566" t="s">
        <v>2220</v>
      </c>
      <c r="AF240" s="574" t="s">
        <v>201</v>
      </c>
      <c r="AG240" s="574" t="s">
        <v>498</v>
      </c>
      <c r="AH240" s="574" t="s">
        <v>316</v>
      </c>
      <c r="AI240" s="574" t="s">
        <v>2107</v>
      </c>
      <c r="AJ240" s="574" t="s">
        <v>197</v>
      </c>
      <c r="AK240" s="716">
        <v>45826</v>
      </c>
      <c r="AL240" s="716"/>
      <c r="AM240" s="716"/>
      <c r="AN240" s="717"/>
      <c r="AO240" s="717"/>
      <c r="AP240" s="576"/>
      <c r="AQ240" s="581"/>
      <c r="AR240" s="581"/>
      <c r="AS240" s="582" t="s">
        <v>1669</v>
      </c>
      <c r="AT240" s="796">
        <v>2329991</v>
      </c>
      <c r="AU240" s="601" t="str">
        <f t="shared" ca="1" si="15"/>
        <v/>
      </c>
      <c r="AV240" s="600" t="s">
        <v>2296</v>
      </c>
      <c r="AX240" s="795" t="s">
        <v>2227</v>
      </c>
    </row>
    <row r="241" spans="1:48" s="309" customFormat="1" ht="18" customHeight="1">
      <c r="A241" s="249" t="s">
        <v>2124</v>
      </c>
      <c r="B241" s="364" t="s">
        <v>2224</v>
      </c>
      <c r="C241" s="249" t="s">
        <v>1981</v>
      </c>
      <c r="D241" s="253">
        <v>2</v>
      </c>
      <c r="E241" s="249" t="s">
        <v>1630</v>
      </c>
      <c r="F241" s="249" t="s">
        <v>1631</v>
      </c>
      <c r="G241" s="253" t="s">
        <v>2282</v>
      </c>
      <c r="H241" s="249" t="str">
        <f>IFERROR(VLOOKUP(C241,DATA!$A$11:$L$64,3,FALSE),"")</f>
        <v>FRESH MANGOSTEEN</v>
      </c>
      <c r="I241" s="314" t="s">
        <v>2222</v>
      </c>
      <c r="J241" s="314" t="s">
        <v>2282</v>
      </c>
      <c r="K241" s="314" t="s">
        <v>2286</v>
      </c>
      <c r="L241" s="297" t="s">
        <v>2124</v>
      </c>
      <c r="M241" s="298">
        <f>IFERROR(VLOOKUP(C241,DATA!$A$11:$L$71,4,FALSE),"")</f>
        <v>75</v>
      </c>
      <c r="N241" s="299">
        <f>IFERROR(VLOOKUP(C241,DATA!$A$11:$L$71,5,FALSE),"")</f>
        <v>1.8</v>
      </c>
      <c r="O241" s="299">
        <f>IFERROR(VLOOKUP(C241,DATA!$A$11:$L$71,6,FALSE),"")</f>
        <v>8.5</v>
      </c>
      <c r="P241" s="299">
        <f>IFERROR(VLOOKUP(C241,DATA!$A$11:$L$71,7,FALSE),"")</f>
        <v>7</v>
      </c>
      <c r="Q241" s="300">
        <f>IFERROR(VLOOKUP(C241,DATA!$A$11:$L$71,8,FALSE),"")</f>
        <v>2400</v>
      </c>
      <c r="R241" s="301" t="str">
        <f>IFERROR(VLOOKUP(C241,DATA!$A$11:$L$71,9,FALSE),"")</f>
        <v>PLASTIC BASKETS</v>
      </c>
      <c r="S241" s="720">
        <v>11</v>
      </c>
      <c r="T241" s="363" t="str">
        <f>IFERROR(VLOOKUP(C241,DATA!$A$11:$L$71,11,FALSE),"")</f>
        <v>5%</v>
      </c>
      <c r="U241" s="296" t="str">
        <f>IFERROR(VLOOKUP(C241,DATA!$A$11:$L$71,12,FALSE),"")</f>
        <v>BEST WEALTHY CORPORATION LIMITED</v>
      </c>
      <c r="V241" s="249" t="s">
        <v>1525</v>
      </c>
      <c r="W241" s="249" t="s">
        <v>1613</v>
      </c>
      <c r="X241" s="249" t="s">
        <v>192</v>
      </c>
      <c r="Y241" s="249" t="s">
        <v>571</v>
      </c>
      <c r="Z241" s="250">
        <v>45826</v>
      </c>
      <c r="AA241" s="364" t="s">
        <v>2284</v>
      </c>
      <c r="AB241" s="250">
        <v>45830</v>
      </c>
      <c r="AC241" s="250">
        <v>45834</v>
      </c>
      <c r="AD241" s="249" t="s">
        <v>1411</v>
      </c>
      <c r="AE241" s="249" t="s">
        <v>2285</v>
      </c>
      <c r="AF241" s="301" t="s">
        <v>201</v>
      </c>
      <c r="AG241" s="301" t="s">
        <v>1477</v>
      </c>
      <c r="AH241" s="301" t="s">
        <v>203</v>
      </c>
      <c r="AI241" s="301" t="s">
        <v>2108</v>
      </c>
      <c r="AJ241" s="301" t="s">
        <v>197</v>
      </c>
      <c r="AK241" s="790">
        <v>45826</v>
      </c>
      <c r="AL241" s="790"/>
      <c r="AM241" s="790"/>
      <c r="AN241" s="791"/>
      <c r="AO241" s="791"/>
      <c r="AP241" s="363"/>
      <c r="AQ241" s="308"/>
      <c r="AR241" s="308"/>
      <c r="AS241" s="544" t="s">
        <v>1669</v>
      </c>
      <c r="AT241" s="792" t="s">
        <v>1987</v>
      </c>
      <c r="AU241" s="713" t="str">
        <f t="shared" ca="1" si="15"/>
        <v/>
      </c>
      <c r="AV241" s="592" t="s">
        <v>2287</v>
      </c>
    </row>
    <row r="242" spans="1:48" ht="18" customHeight="1">
      <c r="A242" s="6" t="s">
        <v>2125</v>
      </c>
      <c r="B242" s="60"/>
      <c r="C242" s="6"/>
      <c r="D242" s="30"/>
      <c r="E242" s="6"/>
      <c r="F242" s="6"/>
      <c r="G242" s="30"/>
      <c r="H242" s="6" t="str">
        <f>IFERROR(VLOOKUP(C242,DATA!$A$11:$L$64,3,FALSE),"")</f>
        <v/>
      </c>
      <c r="I242" s="7"/>
      <c r="J242" s="7"/>
      <c r="K242" s="7"/>
      <c r="L242" s="62" t="s">
        <v>2125</v>
      </c>
      <c r="M242" s="191" t="str">
        <f>IFERROR(VLOOKUP(C242,DATA!$A$11:$L$71,4,FALSE),"")</f>
        <v/>
      </c>
      <c r="N242" s="192" t="str">
        <f>IFERROR(VLOOKUP(C242,DATA!$A$11:$L$71,5,FALSE),"")</f>
        <v/>
      </c>
      <c r="O242" s="192" t="str">
        <f>IFERROR(VLOOKUP(C242,DATA!$A$11:$L$71,6,FALSE),"")</f>
        <v/>
      </c>
      <c r="P242" s="192" t="str">
        <f>IFERROR(VLOOKUP(C242,DATA!$A$11:$L$71,7,FALSE),"")</f>
        <v/>
      </c>
      <c r="Q242" s="193" t="str">
        <f>IFERROR(VLOOKUP(C242,DATA!$A$11:$L$71,8,FALSE),"")</f>
        <v/>
      </c>
      <c r="R242" s="194" t="str">
        <f>IFERROR(VLOOKUP(C242,DATA!$A$11:$L$71,9,FALSE),"")</f>
        <v/>
      </c>
      <c r="S242" s="195" t="str">
        <f>IFERROR(VLOOKUP(C242,DATA!$A$11:$L$71,10,FALSE),"")</f>
        <v/>
      </c>
      <c r="T242" s="196" t="str">
        <f>IFERROR(VLOOKUP(C242,DATA!$A$11:$L$71,11,FALSE),"")</f>
        <v/>
      </c>
      <c r="U242" s="32" t="str">
        <f>IFERROR(VLOOKUP(C242,DATA!$A$11:$L$71,12,FALSE),"")</f>
        <v/>
      </c>
      <c r="V242" s="6"/>
      <c r="W242" s="6"/>
      <c r="X242" s="6" t="s">
        <v>192</v>
      </c>
      <c r="Y242" s="6"/>
      <c r="Z242" s="60"/>
      <c r="AA242" s="318"/>
      <c r="AB242" s="60"/>
      <c r="AC242" s="60"/>
      <c r="AD242" s="6"/>
      <c r="AE242" s="6"/>
      <c r="AF242" s="194"/>
      <c r="AG242" s="194"/>
      <c r="AH242" s="194"/>
      <c r="AI242" s="194"/>
      <c r="AJ242" s="194" t="s">
        <v>197</v>
      </c>
      <c r="AK242" s="715"/>
      <c r="AL242" s="715"/>
      <c r="AM242" s="715"/>
      <c r="AN242" s="227"/>
      <c r="AO242" s="227"/>
      <c r="AP242" s="196"/>
      <c r="AQ242" s="59"/>
      <c r="AR242" s="59"/>
      <c r="AU242" s="602" t="str">
        <f t="shared" ca="1" si="15"/>
        <v/>
      </c>
      <c r="AV242" s="588" t="s">
        <v>2248</v>
      </c>
    </row>
    <row r="243" spans="1:48" ht="18" customHeight="1">
      <c r="A243" s="6" t="s">
        <v>2126</v>
      </c>
      <c r="B243" s="112"/>
      <c r="C243" s="7"/>
      <c r="D243" s="30"/>
      <c r="E243" s="6"/>
      <c r="F243" s="7"/>
      <c r="G243" s="24"/>
      <c r="H243" s="6" t="str">
        <f>IFERROR(VLOOKUP(C243,DATA!$A$11:$L$64,3,FALSE),"")</f>
        <v/>
      </c>
      <c r="I243" s="7"/>
      <c r="J243" s="7"/>
      <c r="K243" s="7"/>
      <c r="L243" s="62" t="s">
        <v>2126</v>
      </c>
      <c r="M243" s="191" t="str">
        <f>IFERROR(VLOOKUP(C243,DATA!$A$11:$L$71,4,FALSE),"")</f>
        <v/>
      </c>
      <c r="N243" s="192" t="str">
        <f>IFERROR(VLOOKUP(C243,DATA!$A$11:$L$71,5,FALSE),"")</f>
        <v/>
      </c>
      <c r="O243" s="192" t="str">
        <f>IFERROR(VLOOKUP(C243,DATA!$A$11:$L$71,6,FALSE),"")</f>
        <v/>
      </c>
      <c r="P243" s="192" t="str">
        <f>IFERROR(VLOOKUP(C243,DATA!$A$11:$L$71,7,FALSE),"")</f>
        <v/>
      </c>
      <c r="Q243" s="193" t="str">
        <f>IFERROR(VLOOKUP(C243,DATA!$A$11:$L$71,8,FALSE),"")</f>
        <v/>
      </c>
      <c r="R243" s="194" t="str">
        <f>IFERROR(VLOOKUP(C243,DATA!$A$11:$L$71,9,FALSE),"")</f>
        <v/>
      </c>
      <c r="S243" s="195" t="str">
        <f>IFERROR(VLOOKUP(C243,DATA!$A$11:$L$71,10,FALSE),"")</f>
        <v/>
      </c>
      <c r="T243" s="196" t="str">
        <f>IFERROR(VLOOKUP(C243,DATA!$A$11:$L$71,11,FALSE),"")</f>
        <v/>
      </c>
      <c r="U243" s="32" t="str">
        <f>IFERROR(VLOOKUP(C243,DATA!$A$11:$L$71,12,FALSE),"")</f>
        <v/>
      </c>
      <c r="V243" s="6"/>
      <c r="W243" s="6"/>
      <c r="X243" s="6" t="s">
        <v>192</v>
      </c>
      <c r="Y243" s="6"/>
      <c r="Z243" s="60"/>
      <c r="AA243" s="60"/>
      <c r="AB243" s="60"/>
      <c r="AC243" s="60"/>
      <c r="AD243" s="6"/>
      <c r="AE243" s="6"/>
      <c r="AF243" s="6"/>
      <c r="AG243" s="6"/>
      <c r="AH243" s="6"/>
      <c r="AI243" s="6"/>
      <c r="AJ243" s="194" t="s">
        <v>197</v>
      </c>
      <c r="AK243" s="60"/>
      <c r="AL243" s="60"/>
      <c r="AM243" s="60"/>
      <c r="AN243" s="59"/>
      <c r="AO243" s="59"/>
      <c r="AP243" s="59"/>
      <c r="AQ243" s="59"/>
      <c r="AU243" s="602" t="str">
        <f t="shared" ca="1" si="15"/>
        <v/>
      </c>
      <c r="AV243" s="588" t="s">
        <v>2165</v>
      </c>
    </row>
    <row r="244" spans="1:48" ht="18" customHeight="1">
      <c r="A244" s="6" t="s">
        <v>2127</v>
      </c>
      <c r="B244" s="112"/>
      <c r="C244" s="7"/>
      <c r="D244" s="30"/>
      <c r="E244" s="6"/>
      <c r="F244" s="7"/>
      <c r="G244" s="24"/>
      <c r="H244" s="6" t="str">
        <f>IFERROR(VLOOKUP(C244,DATA!$A$11:$L$64,3,FALSE),"")</f>
        <v/>
      </c>
      <c r="I244" s="7"/>
      <c r="J244" s="7"/>
      <c r="K244" s="7"/>
      <c r="L244" s="62" t="s">
        <v>2127</v>
      </c>
      <c r="M244" s="191" t="str">
        <f>IFERROR(VLOOKUP(C244,DATA!$A$11:$L$71,4,FALSE),"")</f>
        <v/>
      </c>
      <c r="N244" s="192" t="str">
        <f>IFERROR(VLOOKUP(C244,DATA!$A$11:$L$71,5,FALSE),"")</f>
        <v/>
      </c>
      <c r="O244" s="192" t="str">
        <f>IFERROR(VLOOKUP(C244,DATA!$A$11:$L$71,6,FALSE),"")</f>
        <v/>
      </c>
      <c r="P244" s="192" t="str">
        <f>IFERROR(VLOOKUP(C244,DATA!$A$11:$L$71,7,FALSE),"")</f>
        <v/>
      </c>
      <c r="Q244" s="193" t="str">
        <f>IFERROR(VLOOKUP(C244,DATA!$A$11:$L$71,8,FALSE),"")</f>
        <v/>
      </c>
      <c r="R244" s="194" t="str">
        <f>IFERROR(VLOOKUP(C244,DATA!$A$11:$L$71,9,FALSE),"")</f>
        <v/>
      </c>
      <c r="S244" s="195" t="str">
        <f>IFERROR(VLOOKUP(C244,DATA!$A$11:$L$71,10,FALSE),"")</f>
        <v/>
      </c>
      <c r="T244" s="196" t="str">
        <f>IFERROR(VLOOKUP(C244,DATA!$A$11:$L$71,11,FALSE),"")</f>
        <v/>
      </c>
      <c r="U244" s="32" t="str">
        <f>IFERROR(VLOOKUP(C244,DATA!$A$11:$L$71,12,FALSE),"")</f>
        <v/>
      </c>
      <c r="V244" s="6"/>
      <c r="W244" s="6"/>
      <c r="X244" s="6" t="s">
        <v>192</v>
      </c>
      <c r="Y244" s="6"/>
      <c r="Z244" s="60"/>
      <c r="AA244" s="60"/>
      <c r="AB244" s="60"/>
      <c r="AC244" s="60"/>
      <c r="AD244" s="6"/>
      <c r="AE244" s="6"/>
      <c r="AF244" s="6"/>
      <c r="AG244" s="6"/>
      <c r="AH244" s="6"/>
      <c r="AI244" s="6"/>
      <c r="AJ244" s="194" t="s">
        <v>197</v>
      </c>
      <c r="AK244" s="60"/>
      <c r="AL244" s="60"/>
      <c r="AM244" s="60"/>
      <c r="AN244" s="59"/>
      <c r="AO244" s="59"/>
      <c r="AP244" s="59"/>
      <c r="AQ244" s="59"/>
      <c r="AU244" s="602" t="str">
        <f t="shared" ca="1" si="15"/>
        <v/>
      </c>
      <c r="AV244" s="588" t="s">
        <v>2165</v>
      </c>
    </row>
    <row r="245" spans="1:48" ht="18" customHeight="1">
      <c r="A245" s="6" t="s">
        <v>2128</v>
      </c>
      <c r="B245" s="112"/>
      <c r="C245" s="7"/>
      <c r="D245" s="30"/>
      <c r="E245" s="6"/>
      <c r="F245" s="7"/>
      <c r="G245" s="24"/>
      <c r="H245" s="6" t="str">
        <f>IFERROR(VLOOKUP(C245,DATA!$A$11:$L$64,3,FALSE),"")</f>
        <v/>
      </c>
      <c r="I245" s="7"/>
      <c r="J245" s="7"/>
      <c r="K245" s="7"/>
      <c r="L245" s="62" t="s">
        <v>2128</v>
      </c>
      <c r="M245" s="191" t="str">
        <f>IFERROR(VLOOKUP(C245,DATA!$A$11:$L$71,4,FALSE),"")</f>
        <v/>
      </c>
      <c r="N245" s="192" t="str">
        <f>IFERROR(VLOOKUP(C245,DATA!$A$11:$L$71,5,FALSE),"")</f>
        <v/>
      </c>
      <c r="O245" s="192" t="str">
        <f>IFERROR(VLOOKUP(C245,DATA!$A$11:$L$71,6,FALSE),"")</f>
        <v/>
      </c>
      <c r="P245" s="192" t="str">
        <f>IFERROR(VLOOKUP(C245,DATA!$A$11:$L$71,7,FALSE),"")</f>
        <v/>
      </c>
      <c r="Q245" s="193" t="str">
        <f>IFERROR(VLOOKUP(C245,DATA!$A$11:$L$71,8,FALSE),"")</f>
        <v/>
      </c>
      <c r="R245" s="194" t="str">
        <f>IFERROR(VLOOKUP(C245,DATA!$A$11:$L$71,9,FALSE),"")</f>
        <v/>
      </c>
      <c r="S245" s="195" t="str">
        <f>IFERROR(VLOOKUP(C245,DATA!$A$11:$L$71,10,FALSE),"")</f>
        <v/>
      </c>
      <c r="T245" s="196" t="str">
        <f>IFERROR(VLOOKUP(C245,DATA!$A$11:$L$71,11,FALSE),"")</f>
        <v/>
      </c>
      <c r="U245" s="32" t="str">
        <f>IFERROR(VLOOKUP(C245,DATA!$A$11:$L$71,12,FALSE),"")</f>
        <v/>
      </c>
      <c r="V245" s="6"/>
      <c r="W245" s="6"/>
      <c r="X245" s="6" t="s">
        <v>192</v>
      </c>
      <c r="Y245" s="6"/>
      <c r="Z245" s="60"/>
      <c r="AA245" s="60"/>
      <c r="AB245" s="60"/>
      <c r="AC245" s="60"/>
      <c r="AD245" s="6"/>
      <c r="AE245" s="6"/>
      <c r="AF245" s="6"/>
      <c r="AG245" s="6"/>
      <c r="AH245" s="6"/>
      <c r="AI245" s="6"/>
      <c r="AJ245" s="194" t="s">
        <v>197</v>
      </c>
      <c r="AK245" s="60"/>
      <c r="AL245" s="60"/>
      <c r="AM245" s="60"/>
      <c r="AN245" s="59"/>
      <c r="AO245" s="59"/>
      <c r="AP245" s="59"/>
      <c r="AQ245" s="59"/>
      <c r="AU245" s="602" t="str">
        <f t="shared" ca="1" si="15"/>
        <v/>
      </c>
      <c r="AV245" s="588" t="s">
        <v>2165</v>
      </c>
    </row>
    <row r="246" spans="1:48" ht="18" customHeight="1">
      <c r="A246" s="6" t="s">
        <v>2129</v>
      </c>
      <c r="B246" s="112"/>
      <c r="C246" s="7"/>
      <c r="D246" s="30"/>
      <c r="E246" s="6"/>
      <c r="F246" s="7"/>
      <c r="G246" s="24"/>
      <c r="H246" s="6" t="str">
        <f>IFERROR(VLOOKUP(C246,DATA!$A$11:$L$64,3,FALSE),"")</f>
        <v/>
      </c>
      <c r="I246" s="7"/>
      <c r="J246" s="7"/>
      <c r="K246" s="7"/>
      <c r="L246" s="62" t="s">
        <v>2129</v>
      </c>
      <c r="M246" s="191" t="str">
        <f>IFERROR(VLOOKUP(C246,DATA!$A$11:$L$71,4,FALSE),"")</f>
        <v/>
      </c>
      <c r="N246" s="192" t="str">
        <f>IFERROR(VLOOKUP(C246,DATA!$A$11:$L$71,5,FALSE),"")</f>
        <v/>
      </c>
      <c r="O246" s="192" t="str">
        <f>IFERROR(VLOOKUP(C246,DATA!$A$11:$L$71,6,FALSE),"")</f>
        <v/>
      </c>
      <c r="P246" s="192" t="str">
        <f>IFERROR(VLOOKUP(C246,DATA!$A$11:$L$71,7,FALSE),"")</f>
        <v/>
      </c>
      <c r="Q246" s="193" t="str">
        <f>IFERROR(VLOOKUP(C246,DATA!$A$11:$L$71,8,FALSE),"")</f>
        <v/>
      </c>
      <c r="R246" s="194" t="str">
        <f>IFERROR(VLOOKUP(C246,DATA!$A$11:$L$71,9,FALSE),"")</f>
        <v/>
      </c>
      <c r="S246" s="195" t="str">
        <f>IFERROR(VLOOKUP(C246,DATA!$A$11:$L$71,10,FALSE),"")</f>
        <v/>
      </c>
      <c r="T246" s="196" t="str">
        <f>IFERROR(VLOOKUP(C246,DATA!$A$11:$L$71,11,FALSE),"")</f>
        <v/>
      </c>
      <c r="U246" s="32" t="str">
        <f>IFERROR(VLOOKUP(C246,DATA!$A$11:$L$71,12,FALSE),"")</f>
        <v/>
      </c>
      <c r="V246" s="6"/>
      <c r="W246" s="6"/>
      <c r="X246" s="6" t="s">
        <v>192</v>
      </c>
      <c r="Y246" s="6"/>
      <c r="Z246" s="60"/>
      <c r="AA246" s="60"/>
      <c r="AB246" s="60"/>
      <c r="AC246" s="60"/>
      <c r="AD246" s="6"/>
      <c r="AE246" s="6"/>
      <c r="AF246" s="6"/>
      <c r="AG246" s="6"/>
      <c r="AH246" s="6"/>
      <c r="AI246" s="6"/>
      <c r="AJ246" s="194" t="s">
        <v>197</v>
      </c>
      <c r="AK246" s="60"/>
      <c r="AL246" s="60"/>
      <c r="AM246" s="60"/>
      <c r="AN246" s="59"/>
      <c r="AO246" s="59"/>
      <c r="AP246" s="59"/>
      <c r="AQ246" s="59"/>
      <c r="AU246" s="602" t="str">
        <f t="shared" ca="1" si="15"/>
        <v/>
      </c>
      <c r="AV246" s="588" t="s">
        <v>2165</v>
      </c>
    </row>
    <row r="247" spans="1:48" ht="18" customHeight="1">
      <c r="A247" s="6" t="s">
        <v>2130</v>
      </c>
      <c r="B247" s="112"/>
      <c r="C247" s="7"/>
      <c r="D247" s="30"/>
      <c r="E247" s="6"/>
      <c r="F247" s="7"/>
      <c r="G247" s="24"/>
      <c r="H247" s="6" t="str">
        <f>IFERROR(VLOOKUP(C247,DATA!$A$11:$L$64,3,FALSE),"")</f>
        <v/>
      </c>
      <c r="I247" s="7"/>
      <c r="J247" s="7"/>
      <c r="K247" s="7"/>
      <c r="L247" s="62" t="s">
        <v>2130</v>
      </c>
      <c r="M247" s="191" t="str">
        <f>IFERROR(VLOOKUP(C247,DATA!$A$11:$L$71,4,FALSE),"")</f>
        <v/>
      </c>
      <c r="N247" s="192" t="str">
        <f>IFERROR(VLOOKUP(C247,DATA!$A$11:$L$71,5,FALSE),"")</f>
        <v/>
      </c>
      <c r="O247" s="192" t="str">
        <f>IFERROR(VLOOKUP(C247,DATA!$A$11:$L$71,6,FALSE),"")</f>
        <v/>
      </c>
      <c r="P247" s="192" t="str">
        <f>IFERROR(VLOOKUP(C247,DATA!$A$11:$L$71,7,FALSE),"")</f>
        <v/>
      </c>
      <c r="Q247" s="193" t="str">
        <f>IFERROR(VLOOKUP(C247,DATA!$A$11:$L$71,8,FALSE),"")</f>
        <v/>
      </c>
      <c r="R247" s="194" t="str">
        <f>IFERROR(VLOOKUP(C247,DATA!$A$11:$L$71,9,FALSE),"")</f>
        <v/>
      </c>
      <c r="S247" s="195" t="str">
        <f>IFERROR(VLOOKUP(C247,DATA!$A$11:$L$71,10,FALSE),"")</f>
        <v/>
      </c>
      <c r="T247" s="196" t="str">
        <f>IFERROR(VLOOKUP(C247,DATA!$A$11:$L$71,11,FALSE),"")</f>
        <v/>
      </c>
      <c r="U247" s="32" t="str">
        <f>IFERROR(VLOOKUP(C247,DATA!$A$11:$L$71,12,FALSE),"")</f>
        <v/>
      </c>
      <c r="V247" s="6"/>
      <c r="W247" s="6"/>
      <c r="X247" s="6" t="s">
        <v>192</v>
      </c>
      <c r="Y247" s="6"/>
      <c r="Z247" s="60"/>
      <c r="AA247" s="60"/>
      <c r="AB247" s="60"/>
      <c r="AC247" s="60"/>
      <c r="AD247" s="6"/>
      <c r="AE247" s="6"/>
      <c r="AF247" s="6"/>
      <c r="AG247" s="6"/>
      <c r="AH247" s="6"/>
      <c r="AI247" s="6"/>
      <c r="AJ247" s="194" t="s">
        <v>197</v>
      </c>
      <c r="AK247" s="60"/>
      <c r="AL247" s="60"/>
      <c r="AM247" s="60"/>
      <c r="AN247" s="59"/>
      <c r="AO247" s="59"/>
      <c r="AP247" s="59"/>
      <c r="AQ247" s="59"/>
      <c r="AU247" s="602" t="str">
        <f t="shared" ca="1" si="15"/>
        <v/>
      </c>
      <c r="AV247" s="588" t="s">
        <v>2165</v>
      </c>
    </row>
    <row r="248" spans="1:48" ht="18" customHeight="1">
      <c r="A248" s="6" t="s">
        <v>2131</v>
      </c>
      <c r="B248" s="112"/>
      <c r="C248" s="7"/>
      <c r="D248" s="30"/>
      <c r="E248" s="6"/>
      <c r="F248" s="7"/>
      <c r="G248" s="24"/>
      <c r="H248" s="6" t="str">
        <f>IFERROR(VLOOKUP(C248,DATA!$A$11:$L$64,3,FALSE),"")</f>
        <v/>
      </c>
      <c r="I248" s="7"/>
      <c r="J248" s="7"/>
      <c r="K248" s="7"/>
      <c r="L248" s="62" t="s">
        <v>2131</v>
      </c>
      <c r="M248" s="191" t="str">
        <f>IFERROR(VLOOKUP(C248,DATA!$A$11:$L$71,4,FALSE),"")</f>
        <v/>
      </c>
      <c r="N248" s="192" t="str">
        <f>IFERROR(VLOOKUP(C248,DATA!$A$11:$L$71,5,FALSE),"")</f>
        <v/>
      </c>
      <c r="O248" s="192" t="str">
        <f>IFERROR(VLOOKUP(C248,DATA!$A$11:$L$71,6,FALSE),"")</f>
        <v/>
      </c>
      <c r="P248" s="192" t="str">
        <f>IFERROR(VLOOKUP(C248,DATA!$A$11:$L$71,7,FALSE),"")</f>
        <v/>
      </c>
      <c r="Q248" s="193" t="str">
        <f>IFERROR(VLOOKUP(C248,DATA!$A$11:$L$71,8,FALSE),"")</f>
        <v/>
      </c>
      <c r="R248" s="194" t="str">
        <f>IFERROR(VLOOKUP(C248,DATA!$A$11:$L$71,9,FALSE),"")</f>
        <v/>
      </c>
      <c r="S248" s="195" t="str">
        <f>IFERROR(VLOOKUP(C248,DATA!$A$11:$L$71,10,FALSE),"")</f>
        <v/>
      </c>
      <c r="T248" s="196" t="str">
        <f>IFERROR(VLOOKUP(C248,DATA!$A$11:$L$71,11,FALSE),"")</f>
        <v/>
      </c>
      <c r="U248" s="32" t="str">
        <f>IFERROR(VLOOKUP(C248,DATA!$A$11:$L$71,12,FALSE),"")</f>
        <v/>
      </c>
      <c r="V248" s="6"/>
      <c r="W248" s="6"/>
      <c r="X248" s="6" t="s">
        <v>192</v>
      </c>
      <c r="Y248" s="6"/>
      <c r="Z248" s="60"/>
      <c r="AA248" s="60"/>
      <c r="AB248" s="60"/>
      <c r="AC248" s="60"/>
      <c r="AD248" s="6"/>
      <c r="AE248" s="6"/>
      <c r="AF248" s="6"/>
      <c r="AG248" s="6"/>
      <c r="AH248" s="6"/>
      <c r="AI248" s="6"/>
      <c r="AJ248" s="194" t="s">
        <v>197</v>
      </c>
      <c r="AK248" s="60"/>
      <c r="AL248" s="60"/>
      <c r="AM248" s="60"/>
      <c r="AN248" s="59"/>
      <c r="AO248" s="59"/>
      <c r="AP248" s="59"/>
      <c r="AQ248" s="59"/>
      <c r="AU248" s="602" t="str">
        <f t="shared" ca="1" si="15"/>
        <v/>
      </c>
      <c r="AV248" s="588" t="s">
        <v>2165</v>
      </c>
    </row>
    <row r="249" spans="1:48" ht="18" customHeight="1">
      <c r="A249" s="6" t="s">
        <v>2132</v>
      </c>
      <c r="B249" s="112"/>
      <c r="C249" s="7"/>
      <c r="D249" s="30"/>
      <c r="E249" s="6"/>
      <c r="F249" s="7"/>
      <c r="G249" s="24"/>
      <c r="H249" s="6" t="str">
        <f>IFERROR(VLOOKUP(C249,DATA!$A$11:$L$64,3,FALSE),"")</f>
        <v/>
      </c>
      <c r="I249" s="7"/>
      <c r="J249" s="7"/>
      <c r="K249" s="7"/>
      <c r="L249" s="62" t="s">
        <v>2132</v>
      </c>
      <c r="M249" s="191" t="str">
        <f>IFERROR(VLOOKUP(C249,DATA!$A$11:$L$71,4,FALSE),"")</f>
        <v/>
      </c>
      <c r="N249" s="192" t="str">
        <f>IFERROR(VLOOKUP(C249,DATA!$A$11:$L$71,5,FALSE),"")</f>
        <v/>
      </c>
      <c r="O249" s="192" t="str">
        <f>IFERROR(VLOOKUP(C249,DATA!$A$11:$L$71,6,FALSE),"")</f>
        <v/>
      </c>
      <c r="P249" s="192" t="str">
        <f>IFERROR(VLOOKUP(C249,DATA!$A$11:$L$71,7,FALSE),"")</f>
        <v/>
      </c>
      <c r="Q249" s="193" t="str">
        <f>IFERROR(VLOOKUP(C249,DATA!$A$11:$L$71,8,FALSE),"")</f>
        <v/>
      </c>
      <c r="R249" s="194" t="str">
        <f>IFERROR(VLOOKUP(C249,DATA!$A$11:$L$71,9,FALSE),"")</f>
        <v/>
      </c>
      <c r="S249" s="195" t="str">
        <f>IFERROR(VLOOKUP(C249,DATA!$A$11:$L$71,10,FALSE),"")</f>
        <v/>
      </c>
      <c r="T249" s="196" t="str">
        <f>IFERROR(VLOOKUP(C249,DATA!$A$11:$L$71,11,FALSE),"")</f>
        <v/>
      </c>
      <c r="U249" s="32" t="str">
        <f>IFERROR(VLOOKUP(C249,DATA!$A$11:$L$71,12,FALSE),"")</f>
        <v/>
      </c>
      <c r="V249" s="6"/>
      <c r="W249" s="6"/>
      <c r="X249" s="6" t="s">
        <v>192</v>
      </c>
      <c r="Y249" s="6"/>
      <c r="Z249" s="60"/>
      <c r="AA249" s="60"/>
      <c r="AB249" s="60"/>
      <c r="AC249" s="60"/>
      <c r="AD249" s="6"/>
      <c r="AE249" s="6"/>
      <c r="AF249" s="6"/>
      <c r="AG249" s="6"/>
      <c r="AH249" s="6"/>
      <c r="AI249" s="6"/>
      <c r="AJ249" s="194" t="s">
        <v>197</v>
      </c>
      <c r="AK249" s="60"/>
      <c r="AL249" s="60"/>
      <c r="AM249" s="60"/>
      <c r="AN249" s="59"/>
      <c r="AO249" s="59"/>
      <c r="AP249" s="59"/>
      <c r="AQ249" s="59"/>
      <c r="AU249" s="602" t="str">
        <f t="shared" ca="1" si="15"/>
        <v/>
      </c>
      <c r="AV249" s="588" t="s">
        <v>2165</v>
      </c>
    </row>
    <row r="250" spans="1:48" ht="18" customHeight="1">
      <c r="A250" s="6" t="s">
        <v>2133</v>
      </c>
      <c r="B250" s="112"/>
      <c r="C250" s="7"/>
      <c r="D250" s="30"/>
      <c r="E250" s="6"/>
      <c r="F250" s="7"/>
      <c r="G250" s="24"/>
      <c r="H250" s="6" t="str">
        <f>IFERROR(VLOOKUP(C250,DATA!$A$11:$L$64,3,FALSE),"")</f>
        <v/>
      </c>
      <c r="I250" s="7"/>
      <c r="J250" s="7"/>
      <c r="K250" s="7"/>
      <c r="L250" s="62" t="s">
        <v>2133</v>
      </c>
      <c r="M250" s="191" t="str">
        <f>IFERROR(VLOOKUP(C250,DATA!$A$11:$L$71,4,FALSE),"")</f>
        <v/>
      </c>
      <c r="N250" s="192" t="str">
        <f>IFERROR(VLOOKUP(C250,DATA!$A$11:$L$71,5,FALSE),"")</f>
        <v/>
      </c>
      <c r="O250" s="192" t="str">
        <f>IFERROR(VLOOKUP(C250,DATA!$A$11:$L$71,6,FALSE),"")</f>
        <v/>
      </c>
      <c r="P250" s="192" t="str">
        <f>IFERROR(VLOOKUP(C250,DATA!$A$11:$L$71,7,FALSE),"")</f>
        <v/>
      </c>
      <c r="Q250" s="193" t="str">
        <f>IFERROR(VLOOKUP(C250,DATA!$A$11:$L$71,8,FALSE),"")</f>
        <v/>
      </c>
      <c r="R250" s="194" t="str">
        <f>IFERROR(VLOOKUP(C250,DATA!$A$11:$L$71,9,FALSE),"")</f>
        <v/>
      </c>
      <c r="S250" s="195" t="str">
        <f>IFERROR(VLOOKUP(C250,DATA!$A$11:$L$71,10,FALSE),"")</f>
        <v/>
      </c>
      <c r="T250" s="196" t="str">
        <f>IFERROR(VLOOKUP(C250,DATA!$A$11:$L$71,11,FALSE),"")</f>
        <v/>
      </c>
      <c r="U250" s="32" t="str">
        <f>IFERROR(VLOOKUP(C250,DATA!$A$11:$L$71,12,FALSE),"")</f>
        <v/>
      </c>
      <c r="V250" s="6"/>
      <c r="W250" s="6"/>
      <c r="X250" s="6" t="s">
        <v>192</v>
      </c>
      <c r="Y250" s="6"/>
      <c r="Z250" s="60"/>
      <c r="AA250" s="60"/>
      <c r="AB250" s="60"/>
      <c r="AC250" s="60"/>
      <c r="AD250" s="6"/>
      <c r="AE250" s="6"/>
      <c r="AF250" s="6"/>
      <c r="AG250" s="6"/>
      <c r="AH250" s="6"/>
      <c r="AI250" s="6"/>
      <c r="AJ250" s="194" t="s">
        <v>197</v>
      </c>
      <c r="AK250" s="60"/>
      <c r="AL250" s="60"/>
      <c r="AM250" s="60"/>
      <c r="AN250" s="59"/>
      <c r="AO250" s="59"/>
      <c r="AP250" s="59"/>
      <c r="AQ250" s="59"/>
      <c r="AU250" s="602" t="str">
        <f t="shared" ca="1" si="15"/>
        <v/>
      </c>
      <c r="AV250" s="588" t="s">
        <v>2165</v>
      </c>
    </row>
    <row r="251" spans="1:48" ht="18" customHeight="1">
      <c r="A251" s="6" t="s">
        <v>2134</v>
      </c>
      <c r="B251" s="112"/>
      <c r="C251" s="7"/>
      <c r="D251" s="30"/>
      <c r="E251" s="6"/>
      <c r="F251" s="7"/>
      <c r="G251" s="24"/>
      <c r="H251" s="6" t="str">
        <f>IFERROR(VLOOKUP(C251,DATA!$A$11:$L$64,3,FALSE),"")</f>
        <v/>
      </c>
      <c r="I251" s="7"/>
      <c r="J251" s="7"/>
      <c r="K251" s="7"/>
      <c r="L251" s="62" t="s">
        <v>2134</v>
      </c>
      <c r="M251" s="191" t="str">
        <f>IFERROR(VLOOKUP(C251,DATA!$A$11:$L$71,4,FALSE),"")</f>
        <v/>
      </c>
      <c r="N251" s="192" t="str">
        <f>IFERROR(VLOOKUP(C251,DATA!$A$11:$L$71,5,FALSE),"")</f>
        <v/>
      </c>
      <c r="O251" s="192" t="str">
        <f>IFERROR(VLOOKUP(C251,DATA!$A$11:$L$71,6,FALSE),"")</f>
        <v/>
      </c>
      <c r="P251" s="192" t="str">
        <f>IFERROR(VLOOKUP(C251,DATA!$A$11:$L$71,7,FALSE),"")</f>
        <v/>
      </c>
      <c r="Q251" s="193" t="str">
        <f>IFERROR(VLOOKUP(C251,DATA!$A$11:$L$71,8,FALSE),"")</f>
        <v/>
      </c>
      <c r="R251" s="194" t="str">
        <f>IFERROR(VLOOKUP(C251,DATA!$A$11:$L$71,9,FALSE),"")</f>
        <v/>
      </c>
      <c r="S251" s="195" t="str">
        <f>IFERROR(VLOOKUP(C251,DATA!$A$11:$L$71,10,FALSE),"")</f>
        <v/>
      </c>
      <c r="T251" s="196" t="str">
        <f>IFERROR(VLOOKUP(C251,DATA!$A$11:$L$71,11,FALSE),"")</f>
        <v/>
      </c>
      <c r="U251" s="32" t="str">
        <f>IFERROR(VLOOKUP(C251,DATA!$A$11:$L$71,12,FALSE),"")</f>
        <v/>
      </c>
      <c r="V251" s="6"/>
      <c r="W251" s="6"/>
      <c r="X251" s="6" t="s">
        <v>192</v>
      </c>
      <c r="Y251" s="6"/>
      <c r="Z251" s="60"/>
      <c r="AA251" s="60"/>
      <c r="AB251" s="60"/>
      <c r="AC251" s="60"/>
      <c r="AD251" s="6"/>
      <c r="AE251" s="6"/>
      <c r="AF251" s="6"/>
      <c r="AG251" s="6"/>
      <c r="AH251" s="6"/>
      <c r="AI251" s="6"/>
      <c r="AJ251" s="194" t="s">
        <v>197</v>
      </c>
      <c r="AK251" s="60"/>
      <c r="AL251" s="60"/>
      <c r="AM251" s="60"/>
      <c r="AN251" s="59"/>
      <c r="AO251" s="59"/>
      <c r="AP251" s="59"/>
      <c r="AQ251" s="59"/>
      <c r="AU251" s="602" t="str">
        <f t="shared" ca="1" si="15"/>
        <v/>
      </c>
      <c r="AV251" s="588" t="s">
        <v>2165</v>
      </c>
    </row>
    <row r="252" spans="1:48" ht="18" customHeight="1">
      <c r="A252" s="6" t="s">
        <v>2135</v>
      </c>
      <c r="B252" s="112"/>
      <c r="C252" s="7"/>
      <c r="D252" s="30"/>
      <c r="E252" s="6"/>
      <c r="F252" s="7"/>
      <c r="G252" s="24"/>
      <c r="H252" s="6" t="str">
        <f>IFERROR(VLOOKUP(C252,DATA!$A$11:$L$64,3,FALSE),"")</f>
        <v/>
      </c>
      <c r="I252" s="7"/>
      <c r="J252" s="7"/>
      <c r="K252" s="7"/>
      <c r="L252" s="62" t="s">
        <v>2135</v>
      </c>
      <c r="M252" s="191" t="str">
        <f>IFERROR(VLOOKUP(C252,DATA!$A$11:$L$71,4,FALSE),"")</f>
        <v/>
      </c>
      <c r="N252" s="192" t="str">
        <f>IFERROR(VLOOKUP(C252,DATA!$A$11:$L$71,5,FALSE),"")</f>
        <v/>
      </c>
      <c r="O252" s="192" t="str">
        <f>IFERROR(VLOOKUP(C252,DATA!$A$11:$L$71,6,FALSE),"")</f>
        <v/>
      </c>
      <c r="P252" s="192" t="str">
        <f>IFERROR(VLOOKUP(C252,DATA!$A$11:$L$71,7,FALSE),"")</f>
        <v/>
      </c>
      <c r="Q252" s="193" t="str">
        <f>IFERROR(VLOOKUP(C252,DATA!$A$11:$L$71,8,FALSE),"")</f>
        <v/>
      </c>
      <c r="R252" s="194" t="str">
        <f>IFERROR(VLOOKUP(C252,DATA!$A$11:$L$71,9,FALSE),"")</f>
        <v/>
      </c>
      <c r="S252" s="195" t="str">
        <f>IFERROR(VLOOKUP(C252,DATA!$A$11:$L$71,10,FALSE),"")</f>
        <v/>
      </c>
      <c r="T252" s="196" t="str">
        <f>IFERROR(VLOOKUP(C252,DATA!$A$11:$L$71,11,FALSE),"")</f>
        <v/>
      </c>
      <c r="U252" s="32" t="str">
        <f>IFERROR(VLOOKUP(C252,DATA!$A$11:$L$71,12,FALSE),"")</f>
        <v/>
      </c>
      <c r="V252" s="6"/>
      <c r="W252" s="6"/>
      <c r="X252" s="6" t="s">
        <v>192</v>
      </c>
      <c r="Y252" s="6"/>
      <c r="Z252" s="60"/>
      <c r="AA252" s="60"/>
      <c r="AB252" s="60"/>
      <c r="AC252" s="60"/>
      <c r="AD252" s="6"/>
      <c r="AE252" s="6"/>
      <c r="AF252" s="6"/>
      <c r="AG252" s="6"/>
      <c r="AH252" s="6"/>
      <c r="AI252" s="6"/>
      <c r="AJ252" s="194" t="s">
        <v>197</v>
      </c>
      <c r="AK252" s="60"/>
      <c r="AL252" s="60"/>
      <c r="AM252" s="60"/>
      <c r="AN252" s="59"/>
      <c r="AO252" s="59"/>
      <c r="AP252" s="59"/>
      <c r="AQ252" s="59"/>
      <c r="AU252" s="602" t="str">
        <f t="shared" ca="1" si="15"/>
        <v/>
      </c>
      <c r="AV252" s="588" t="s">
        <v>2165</v>
      </c>
    </row>
    <row r="253" spans="1:48" ht="18" customHeight="1">
      <c r="A253" s="6" t="s">
        <v>2136</v>
      </c>
      <c r="B253" s="112"/>
      <c r="C253" s="7"/>
      <c r="D253" s="30"/>
      <c r="E253" s="6"/>
      <c r="F253" s="7"/>
      <c r="G253" s="24"/>
      <c r="H253" s="6" t="str">
        <f>IFERROR(VLOOKUP(C253,DATA!$A$11:$L$64,3,FALSE),"")</f>
        <v/>
      </c>
      <c r="I253" s="7"/>
      <c r="J253" s="7"/>
      <c r="K253" s="7"/>
      <c r="L253" s="62" t="s">
        <v>2136</v>
      </c>
      <c r="M253" s="191" t="str">
        <f>IFERROR(VLOOKUP(C253,DATA!$A$11:$L$71,4,FALSE),"")</f>
        <v/>
      </c>
      <c r="N253" s="192" t="str">
        <f>IFERROR(VLOOKUP(C253,DATA!$A$11:$L$71,5,FALSE),"")</f>
        <v/>
      </c>
      <c r="O253" s="192" t="str">
        <f>IFERROR(VLOOKUP(C253,DATA!$A$11:$L$71,6,FALSE),"")</f>
        <v/>
      </c>
      <c r="P253" s="192" t="str">
        <f>IFERROR(VLOOKUP(C253,DATA!$A$11:$L$71,7,FALSE),"")</f>
        <v/>
      </c>
      <c r="Q253" s="193" t="str">
        <f>IFERROR(VLOOKUP(C253,DATA!$A$11:$L$71,8,FALSE),"")</f>
        <v/>
      </c>
      <c r="R253" s="194" t="str">
        <f>IFERROR(VLOOKUP(C253,DATA!$A$11:$L$71,9,FALSE),"")</f>
        <v/>
      </c>
      <c r="S253" s="195" t="str">
        <f>IFERROR(VLOOKUP(C253,DATA!$A$11:$L$71,10,FALSE),"")</f>
        <v/>
      </c>
      <c r="T253" s="196" t="str">
        <f>IFERROR(VLOOKUP(C253,DATA!$A$11:$L$71,11,FALSE),"")</f>
        <v/>
      </c>
      <c r="U253" s="32" t="str">
        <f>IFERROR(VLOOKUP(C253,DATA!$A$11:$L$71,12,FALSE),"")</f>
        <v/>
      </c>
      <c r="V253" s="6"/>
      <c r="W253" s="6"/>
      <c r="X253" s="6" t="s">
        <v>192</v>
      </c>
      <c r="Y253" s="6"/>
      <c r="Z253" s="60"/>
      <c r="AA253" s="60"/>
      <c r="AB253" s="60"/>
      <c r="AC253" s="60"/>
      <c r="AD253" s="6"/>
      <c r="AE253" s="6"/>
      <c r="AF253" s="6"/>
      <c r="AG253" s="6"/>
      <c r="AH253" s="6"/>
      <c r="AI253" s="6"/>
      <c r="AJ253" s="194" t="s">
        <v>197</v>
      </c>
      <c r="AK253" s="60"/>
      <c r="AL253" s="60"/>
      <c r="AM253" s="60"/>
      <c r="AN253" s="59"/>
      <c r="AO253" s="59"/>
      <c r="AP253" s="59"/>
      <c r="AQ253" s="59"/>
      <c r="AU253" s="602" t="str">
        <f t="shared" ca="1" si="15"/>
        <v/>
      </c>
      <c r="AV253" s="588" t="s">
        <v>2165</v>
      </c>
    </row>
    <row r="254" spans="1:48" ht="18" customHeight="1">
      <c r="A254" s="6" t="s">
        <v>2137</v>
      </c>
      <c r="B254" s="112"/>
      <c r="C254" s="7"/>
      <c r="D254" s="30"/>
      <c r="E254" s="6"/>
      <c r="F254" s="7"/>
      <c r="G254" s="24"/>
      <c r="H254" s="6" t="str">
        <f>IFERROR(VLOOKUP(C254,DATA!$A$11:$L$64,3,FALSE),"")</f>
        <v/>
      </c>
      <c r="I254" s="7"/>
      <c r="J254" s="7"/>
      <c r="K254" s="7"/>
      <c r="L254" s="62" t="s">
        <v>2137</v>
      </c>
      <c r="M254" s="191" t="str">
        <f>IFERROR(VLOOKUP(C254,DATA!$A$11:$L$71,4,FALSE),"")</f>
        <v/>
      </c>
      <c r="N254" s="192" t="str">
        <f>IFERROR(VLOOKUP(C254,DATA!$A$11:$L$71,5,FALSE),"")</f>
        <v/>
      </c>
      <c r="O254" s="192" t="str">
        <f>IFERROR(VLOOKUP(C254,DATA!$A$11:$L$71,6,FALSE),"")</f>
        <v/>
      </c>
      <c r="P254" s="192" t="str">
        <f>IFERROR(VLOOKUP(C254,DATA!$A$11:$L$71,7,FALSE),"")</f>
        <v/>
      </c>
      <c r="Q254" s="193" t="str">
        <f>IFERROR(VLOOKUP(C254,DATA!$A$11:$L$71,8,FALSE),"")</f>
        <v/>
      </c>
      <c r="R254" s="194" t="str">
        <f>IFERROR(VLOOKUP(C254,DATA!$A$11:$L$71,9,FALSE),"")</f>
        <v/>
      </c>
      <c r="S254" s="195" t="str">
        <f>IFERROR(VLOOKUP(C254,DATA!$A$11:$L$71,10,FALSE),"")</f>
        <v/>
      </c>
      <c r="T254" s="196" t="str">
        <f>IFERROR(VLOOKUP(C254,DATA!$A$11:$L$71,11,FALSE),"")</f>
        <v/>
      </c>
      <c r="U254" s="32" t="str">
        <f>IFERROR(VLOOKUP(C254,DATA!$A$11:$L$71,12,FALSE),"")</f>
        <v/>
      </c>
      <c r="V254" s="6"/>
      <c r="W254" s="6"/>
      <c r="X254" s="6" t="s">
        <v>192</v>
      </c>
      <c r="Y254" s="6"/>
      <c r="Z254" s="60"/>
      <c r="AA254" s="60"/>
      <c r="AB254" s="60"/>
      <c r="AC254" s="60"/>
      <c r="AD254" s="6"/>
      <c r="AE254" s="6"/>
      <c r="AF254" s="6"/>
      <c r="AG254" s="6"/>
      <c r="AH254" s="6"/>
      <c r="AI254" s="6"/>
      <c r="AJ254" s="194" t="s">
        <v>197</v>
      </c>
      <c r="AK254" s="60"/>
      <c r="AL254" s="60"/>
      <c r="AM254" s="60"/>
      <c r="AN254" s="59"/>
      <c r="AO254" s="59"/>
      <c r="AP254" s="59"/>
      <c r="AQ254" s="59"/>
      <c r="AU254" s="602" t="str">
        <f t="shared" ca="1" si="15"/>
        <v/>
      </c>
      <c r="AV254" s="588" t="s">
        <v>2165</v>
      </c>
    </row>
    <row r="255" spans="1:48" ht="18" customHeight="1">
      <c r="A255" s="6" t="s">
        <v>2138</v>
      </c>
      <c r="B255" s="112"/>
      <c r="C255" s="7"/>
      <c r="D255" s="30"/>
      <c r="E255" s="6"/>
      <c r="F255" s="7"/>
      <c r="G255" s="24"/>
      <c r="H255" s="6" t="str">
        <f>IFERROR(VLOOKUP(C255,DATA!$A$11:$L$64,3,FALSE),"")</f>
        <v/>
      </c>
      <c r="I255" s="7"/>
      <c r="J255" s="7"/>
      <c r="K255" s="7"/>
      <c r="L255" s="62" t="s">
        <v>2138</v>
      </c>
      <c r="M255" s="191" t="str">
        <f>IFERROR(VLOOKUP(C255,DATA!$A$11:$L$71,4,FALSE),"")</f>
        <v/>
      </c>
      <c r="N255" s="192" t="str">
        <f>IFERROR(VLOOKUP(C255,DATA!$A$11:$L$71,5,FALSE),"")</f>
        <v/>
      </c>
      <c r="O255" s="192" t="str">
        <f>IFERROR(VLOOKUP(C255,DATA!$A$11:$L$71,6,FALSE),"")</f>
        <v/>
      </c>
      <c r="P255" s="192" t="str">
        <f>IFERROR(VLOOKUP(C255,DATA!$A$11:$L$71,7,FALSE),"")</f>
        <v/>
      </c>
      <c r="Q255" s="193" t="str">
        <f>IFERROR(VLOOKUP(C255,DATA!$A$11:$L$71,8,FALSE),"")</f>
        <v/>
      </c>
      <c r="R255" s="194" t="str">
        <f>IFERROR(VLOOKUP(C255,DATA!$A$11:$L$71,9,FALSE),"")</f>
        <v/>
      </c>
      <c r="S255" s="195" t="str">
        <f>IFERROR(VLOOKUP(C255,DATA!$A$11:$L$71,10,FALSE),"")</f>
        <v/>
      </c>
      <c r="T255" s="196" t="str">
        <f>IFERROR(VLOOKUP(C255,DATA!$A$11:$L$71,11,FALSE),"")</f>
        <v/>
      </c>
      <c r="U255" s="32" t="str">
        <f>IFERROR(VLOOKUP(C255,DATA!$A$11:$L$71,12,FALSE),"")</f>
        <v/>
      </c>
      <c r="V255" s="6"/>
      <c r="W255" s="6"/>
      <c r="X255" s="6" t="s">
        <v>192</v>
      </c>
      <c r="Y255" s="6"/>
      <c r="Z255" s="60"/>
      <c r="AA255" s="60"/>
      <c r="AB255" s="60"/>
      <c r="AC255" s="60"/>
      <c r="AD255" s="6"/>
      <c r="AE255" s="6"/>
      <c r="AF255" s="6"/>
      <c r="AG255" s="6"/>
      <c r="AH255" s="6"/>
      <c r="AI255" s="6"/>
      <c r="AJ255" s="194" t="s">
        <v>197</v>
      </c>
      <c r="AK255" s="60"/>
      <c r="AL255" s="60"/>
      <c r="AM255" s="60"/>
      <c r="AN255" s="59"/>
      <c r="AO255" s="59"/>
      <c r="AP255" s="59"/>
      <c r="AQ255" s="59"/>
      <c r="AU255" s="602" t="str">
        <f t="shared" ca="1" si="15"/>
        <v/>
      </c>
      <c r="AV255" s="588" t="s">
        <v>2165</v>
      </c>
    </row>
    <row r="256" spans="1:48" ht="18" customHeight="1">
      <c r="A256" s="6" t="s">
        <v>2139</v>
      </c>
      <c r="B256" s="112"/>
      <c r="C256" s="7"/>
      <c r="D256" s="30"/>
      <c r="E256" s="6"/>
      <c r="F256" s="7"/>
      <c r="G256" s="24"/>
      <c r="H256" s="6" t="str">
        <f>IFERROR(VLOOKUP(C256,DATA!$A$11:$L$64,3,FALSE),"")</f>
        <v/>
      </c>
      <c r="I256" s="7"/>
      <c r="J256" s="7"/>
      <c r="K256" s="7"/>
      <c r="L256" s="62" t="s">
        <v>2139</v>
      </c>
      <c r="M256" s="191" t="str">
        <f>IFERROR(VLOOKUP(C256,DATA!$A$11:$L$71,4,FALSE),"")</f>
        <v/>
      </c>
      <c r="N256" s="192" t="str">
        <f>IFERROR(VLOOKUP(C256,DATA!$A$11:$L$71,5,FALSE),"")</f>
        <v/>
      </c>
      <c r="O256" s="192" t="str">
        <f>IFERROR(VLOOKUP(C256,DATA!$A$11:$L$71,6,FALSE),"")</f>
        <v/>
      </c>
      <c r="P256" s="192" t="str">
        <f>IFERROR(VLOOKUP(C256,DATA!$A$11:$L$71,7,FALSE),"")</f>
        <v/>
      </c>
      <c r="Q256" s="193" t="str">
        <f>IFERROR(VLOOKUP(C256,DATA!$A$11:$L$71,8,FALSE),"")</f>
        <v/>
      </c>
      <c r="R256" s="194" t="str">
        <f>IFERROR(VLOOKUP(C256,DATA!$A$11:$L$71,9,FALSE),"")</f>
        <v/>
      </c>
      <c r="S256" s="195" t="str">
        <f>IFERROR(VLOOKUP(C256,DATA!$A$11:$L$71,10,FALSE),"")</f>
        <v/>
      </c>
      <c r="T256" s="196" t="str">
        <f>IFERROR(VLOOKUP(C256,DATA!$A$11:$L$71,11,FALSE),"")</f>
        <v/>
      </c>
      <c r="U256" s="32" t="str">
        <f>IFERROR(VLOOKUP(C256,DATA!$A$11:$L$71,12,FALSE),"")</f>
        <v/>
      </c>
      <c r="V256" s="6"/>
      <c r="W256" s="6"/>
      <c r="X256" s="6" t="s">
        <v>192</v>
      </c>
      <c r="Y256" s="6"/>
      <c r="Z256" s="60"/>
      <c r="AA256" s="60"/>
      <c r="AB256" s="60"/>
      <c r="AC256" s="60"/>
      <c r="AD256" s="6"/>
      <c r="AE256" s="6"/>
      <c r="AF256" s="6"/>
      <c r="AG256" s="6"/>
      <c r="AH256" s="6"/>
      <c r="AI256" s="6"/>
      <c r="AJ256" s="194" t="s">
        <v>197</v>
      </c>
      <c r="AK256" s="60"/>
      <c r="AL256" s="60"/>
      <c r="AM256" s="60"/>
      <c r="AN256" s="59"/>
      <c r="AO256" s="59"/>
      <c r="AP256" s="59"/>
      <c r="AQ256" s="59"/>
      <c r="AU256" s="602" t="str">
        <f t="shared" ca="1" si="15"/>
        <v/>
      </c>
      <c r="AV256" s="588" t="s">
        <v>2165</v>
      </c>
    </row>
    <row r="257" spans="1:48" ht="18" customHeight="1">
      <c r="A257" s="6" t="s">
        <v>2140</v>
      </c>
      <c r="B257" s="112"/>
      <c r="C257" s="7"/>
      <c r="D257" s="30"/>
      <c r="E257" s="6"/>
      <c r="F257" s="7"/>
      <c r="G257" s="24"/>
      <c r="H257" s="6" t="str">
        <f>IFERROR(VLOOKUP(C257,DATA!$A$11:$L$64,3,FALSE),"")</f>
        <v/>
      </c>
      <c r="I257" s="7"/>
      <c r="J257" s="7"/>
      <c r="K257" s="7"/>
      <c r="L257" s="62" t="s">
        <v>2140</v>
      </c>
      <c r="M257" s="191" t="str">
        <f>IFERROR(VLOOKUP(C257,DATA!$A$11:$L$71,4,FALSE),"")</f>
        <v/>
      </c>
      <c r="N257" s="192" t="str">
        <f>IFERROR(VLOOKUP(C257,DATA!$A$11:$L$71,5,FALSE),"")</f>
        <v/>
      </c>
      <c r="O257" s="192" t="str">
        <f>IFERROR(VLOOKUP(C257,DATA!$A$11:$L$71,6,FALSE),"")</f>
        <v/>
      </c>
      <c r="P257" s="192" t="str">
        <f>IFERROR(VLOOKUP(C257,DATA!$A$11:$L$71,7,FALSE),"")</f>
        <v/>
      </c>
      <c r="Q257" s="193" t="str">
        <f>IFERROR(VLOOKUP(C257,DATA!$A$11:$L$71,8,FALSE),"")</f>
        <v/>
      </c>
      <c r="R257" s="194" t="str">
        <f>IFERROR(VLOOKUP(C257,DATA!$A$11:$L$71,9,FALSE),"")</f>
        <v/>
      </c>
      <c r="S257" s="195" t="str">
        <f>IFERROR(VLOOKUP(C257,DATA!$A$11:$L$71,10,FALSE),"")</f>
        <v/>
      </c>
      <c r="T257" s="196" t="str">
        <f>IFERROR(VLOOKUP(C257,DATA!$A$11:$L$71,11,FALSE),"")</f>
        <v/>
      </c>
      <c r="U257" s="32" t="str">
        <f>IFERROR(VLOOKUP(C257,DATA!$A$11:$L$71,12,FALSE),"")</f>
        <v/>
      </c>
      <c r="V257" s="6"/>
      <c r="W257" s="6"/>
      <c r="X257" s="6" t="s">
        <v>192</v>
      </c>
      <c r="Y257" s="6"/>
      <c r="Z257" s="60"/>
      <c r="AA257" s="60"/>
      <c r="AB257" s="60"/>
      <c r="AC257" s="60"/>
      <c r="AD257" s="6"/>
      <c r="AE257" s="6"/>
      <c r="AF257" s="6"/>
      <c r="AG257" s="6"/>
      <c r="AH257" s="6"/>
      <c r="AI257" s="6"/>
      <c r="AJ257" s="194" t="s">
        <v>197</v>
      </c>
      <c r="AK257" s="60"/>
      <c r="AL257" s="60"/>
      <c r="AM257" s="60"/>
      <c r="AN257" s="59"/>
      <c r="AO257" s="59"/>
      <c r="AP257" s="59"/>
      <c r="AQ257" s="59"/>
      <c r="AU257" s="602" t="str">
        <f t="shared" ca="1" si="15"/>
        <v/>
      </c>
      <c r="AV257" s="588" t="s">
        <v>2165</v>
      </c>
    </row>
    <row r="258" spans="1:48" ht="15.75" customHeight="1">
      <c r="A258" s="6" t="s">
        <v>2141</v>
      </c>
      <c r="B258" s="113"/>
      <c r="D258" s="110"/>
      <c r="E258" s="114"/>
      <c r="G258" s="110"/>
      <c r="H258" s="6" t="str">
        <f>IFERROR(VLOOKUP(C258,DATA!$A$11:$L$64,3,FALSE),"")</f>
        <v/>
      </c>
      <c r="L258" s="62" t="s">
        <v>2141</v>
      </c>
      <c r="M258" s="191" t="str">
        <f>IFERROR(VLOOKUP(C258,DATA!$A$11:$L$71,4,FALSE),"")</f>
        <v/>
      </c>
      <c r="N258" s="192" t="str">
        <f>IFERROR(VLOOKUP(C258,DATA!$A$11:$L$71,5,FALSE),"")</f>
        <v/>
      </c>
      <c r="O258" s="192" t="str">
        <f>IFERROR(VLOOKUP(C258,DATA!$A$11:$L$71,6,FALSE),"")</f>
        <v/>
      </c>
      <c r="P258" s="192" t="str">
        <f>IFERROR(VLOOKUP(C258,DATA!$A$11:$L$71,7,FALSE),"")</f>
        <v/>
      </c>
      <c r="Q258" s="193" t="str">
        <f>IFERROR(VLOOKUP(C258,DATA!$A$11:$L$71,8,FALSE),"")</f>
        <v/>
      </c>
      <c r="R258" s="194" t="str">
        <f>IFERROR(VLOOKUP(C258,DATA!$A$11:$L$71,9,FALSE),"")</f>
        <v/>
      </c>
      <c r="S258" s="195" t="str">
        <f>IFERROR(VLOOKUP(C258,DATA!$A$11:$L$71,10,FALSE),"")</f>
        <v/>
      </c>
      <c r="T258" s="196" t="str">
        <f>IFERROR(VLOOKUP(C258,DATA!$A$11:$L$71,11,FALSE),"")</f>
        <v/>
      </c>
      <c r="U258" s="32" t="str">
        <f>IFERROR(VLOOKUP(C258,DATA!$A$11:$L$71,12,FALSE),"")</f>
        <v/>
      </c>
      <c r="X258" s="6" t="s">
        <v>192</v>
      </c>
      <c r="Z258" s="117"/>
      <c r="AA258" s="117"/>
      <c r="AB258" s="117"/>
      <c r="AC258" s="117"/>
      <c r="AJ258" s="194" t="s">
        <v>197</v>
      </c>
      <c r="AK258" s="113"/>
      <c r="AL258" s="113"/>
      <c r="AM258" s="113"/>
      <c r="AN258" s="118"/>
      <c r="AO258" s="118"/>
      <c r="AP258" s="118"/>
      <c r="AQ258" s="118"/>
      <c r="AU258" s="602" t="str">
        <f t="shared" ca="1" si="15"/>
        <v/>
      </c>
      <c r="AV258" s="588" t="s">
        <v>2165</v>
      </c>
    </row>
    <row r="259" spans="1:48" ht="15.75" customHeight="1">
      <c r="A259" s="6" t="s">
        <v>2142</v>
      </c>
      <c r="B259" s="113"/>
      <c r="D259" s="110"/>
      <c r="E259" s="114"/>
      <c r="G259" s="110"/>
      <c r="H259" s="6" t="str">
        <f>IFERROR(VLOOKUP(C259,DATA!$A$11:$L$64,3,FALSE),"")</f>
        <v/>
      </c>
      <c r="L259" s="62" t="s">
        <v>2142</v>
      </c>
      <c r="M259" s="191" t="str">
        <f>IFERROR(VLOOKUP(C259,DATA!$A$11:$L$71,4,FALSE),"")</f>
        <v/>
      </c>
      <c r="N259" s="192" t="str">
        <f>IFERROR(VLOOKUP(C259,DATA!$A$11:$L$71,5,FALSE),"")</f>
        <v/>
      </c>
      <c r="O259" s="192" t="str">
        <f>IFERROR(VLOOKUP(C259,DATA!$A$11:$L$71,6,FALSE),"")</f>
        <v/>
      </c>
      <c r="P259" s="192" t="str">
        <f>IFERROR(VLOOKUP(C259,DATA!$A$11:$L$71,7,FALSE),"")</f>
        <v/>
      </c>
      <c r="Q259" s="193" t="str">
        <f>IFERROR(VLOOKUP(C259,DATA!$A$11:$L$71,8,FALSE),"")</f>
        <v/>
      </c>
      <c r="R259" s="194" t="str">
        <f>IFERROR(VLOOKUP(C259,DATA!$A$11:$L$71,9,FALSE),"")</f>
        <v/>
      </c>
      <c r="S259" s="195" t="str">
        <f>IFERROR(VLOOKUP(C259,DATA!$A$11:$L$71,10,FALSE),"")</f>
        <v/>
      </c>
      <c r="T259" s="196" t="str">
        <f>IFERROR(VLOOKUP(C259,DATA!$A$11:$L$71,11,FALSE),"")</f>
        <v/>
      </c>
      <c r="U259" s="32" t="str">
        <f>IFERROR(VLOOKUP(C259,DATA!$A$11:$L$71,12,FALSE),"")</f>
        <v/>
      </c>
      <c r="X259" s="6" t="s">
        <v>192</v>
      </c>
      <c r="Z259" s="117"/>
      <c r="AA259" s="117"/>
      <c r="AB259" s="117"/>
      <c r="AC259" s="117"/>
      <c r="AJ259" s="194" t="s">
        <v>197</v>
      </c>
      <c r="AK259" s="113"/>
      <c r="AL259" s="113"/>
      <c r="AM259" s="113"/>
      <c r="AN259" s="118"/>
      <c r="AO259" s="118"/>
      <c r="AP259" s="118"/>
      <c r="AQ259" s="118"/>
      <c r="AU259" s="602" t="str">
        <f t="shared" ca="1" si="15"/>
        <v/>
      </c>
      <c r="AV259" s="588" t="s">
        <v>2165</v>
      </c>
    </row>
    <row r="260" spans="1:48" ht="15.75" customHeight="1">
      <c r="B260" s="113"/>
      <c r="D260" s="110"/>
      <c r="E260" s="114"/>
      <c r="G260" s="110"/>
      <c r="O260" s="115"/>
      <c r="P260" s="115"/>
      <c r="Q260" s="116"/>
      <c r="Z260" s="117"/>
      <c r="AA260" s="117"/>
      <c r="AB260" s="117"/>
      <c r="AC260" s="117"/>
      <c r="AK260" s="113"/>
      <c r="AL260" s="113"/>
      <c r="AM260" s="113"/>
      <c r="AN260" s="118"/>
      <c r="AO260" s="118"/>
      <c r="AP260" s="118"/>
      <c r="AQ260" s="118"/>
    </row>
    <row r="261" spans="1:48" ht="15.75" customHeight="1">
      <c r="B261" s="113"/>
      <c r="D261" s="110"/>
      <c r="E261" s="114"/>
      <c r="G261" s="110"/>
      <c r="O261" s="115"/>
      <c r="P261" s="115"/>
      <c r="Q261" s="116"/>
      <c r="Z261" s="117"/>
      <c r="AA261" s="117"/>
      <c r="AB261" s="117"/>
      <c r="AC261" s="117"/>
      <c r="AK261" s="113"/>
      <c r="AL261" s="113"/>
      <c r="AM261" s="113"/>
      <c r="AN261" s="118"/>
      <c r="AO261" s="118"/>
      <c r="AP261" s="118"/>
      <c r="AQ261" s="118"/>
    </row>
    <row r="262" spans="1:48" ht="15.75" customHeight="1">
      <c r="B262" s="113"/>
      <c r="D262" s="110"/>
      <c r="E262" s="114"/>
      <c r="G262" s="110"/>
      <c r="O262" s="115"/>
      <c r="P262" s="115"/>
      <c r="Q262" s="116"/>
      <c r="Z262" s="117"/>
      <c r="AA262" s="117"/>
      <c r="AB262" s="117"/>
      <c r="AC262" s="117"/>
      <c r="AK262" s="113"/>
      <c r="AL262" s="113"/>
      <c r="AM262" s="113"/>
      <c r="AN262" s="118"/>
      <c r="AO262" s="118"/>
      <c r="AP262" s="118"/>
      <c r="AQ262" s="118"/>
    </row>
    <row r="263" spans="1:48" ht="15.75" customHeight="1">
      <c r="B263" s="113"/>
      <c r="D263" s="110"/>
      <c r="E263" s="114"/>
      <c r="G263" s="110"/>
      <c r="O263" s="115"/>
      <c r="P263" s="115"/>
      <c r="Q263" s="116"/>
      <c r="Z263" s="117"/>
      <c r="AA263" s="117"/>
      <c r="AB263" s="117"/>
      <c r="AC263" s="117"/>
      <c r="AK263" s="113"/>
      <c r="AL263" s="113"/>
      <c r="AM263" s="113"/>
      <c r="AN263" s="118"/>
      <c r="AO263" s="118"/>
      <c r="AP263" s="118"/>
      <c r="AQ263" s="118"/>
    </row>
    <row r="264" spans="1:48" ht="15.75" customHeight="1">
      <c r="B264" s="113"/>
      <c r="D264" s="110"/>
      <c r="E264" s="114"/>
      <c r="G264" s="110"/>
      <c r="O264" s="115"/>
      <c r="P264" s="115"/>
      <c r="Q264" s="116"/>
      <c r="Z264" s="117"/>
      <c r="AA264" s="117"/>
      <c r="AB264" s="117"/>
      <c r="AC264" s="117"/>
      <c r="AK264" s="113"/>
      <c r="AL264" s="113"/>
      <c r="AM264" s="113"/>
      <c r="AN264" s="118"/>
      <c r="AO264" s="118"/>
      <c r="AP264" s="118"/>
      <c r="AQ264" s="118"/>
    </row>
    <row r="265" spans="1:48" ht="15.75" customHeight="1">
      <c r="B265" s="113"/>
      <c r="D265" s="110"/>
      <c r="E265" s="114"/>
      <c r="G265" s="110"/>
      <c r="O265" s="115"/>
      <c r="P265" s="115"/>
      <c r="Q265" s="116"/>
      <c r="Z265" s="117"/>
      <c r="AA265" s="117"/>
      <c r="AB265" s="117"/>
      <c r="AC265" s="117"/>
      <c r="AK265" s="113"/>
      <c r="AL265" s="113"/>
      <c r="AM265" s="113"/>
      <c r="AN265" s="118"/>
      <c r="AO265" s="118"/>
      <c r="AP265" s="118"/>
      <c r="AQ265" s="118"/>
    </row>
    <row r="266" spans="1:48" ht="15.75" customHeight="1">
      <c r="B266" s="113"/>
      <c r="D266" s="110"/>
      <c r="E266" s="114"/>
      <c r="G266" s="110"/>
      <c r="O266" s="115"/>
      <c r="P266" s="115"/>
      <c r="Q266" s="116"/>
      <c r="Z266" s="117"/>
      <c r="AA266" s="117"/>
      <c r="AB266" s="117"/>
      <c r="AC266" s="117"/>
      <c r="AK266" s="113"/>
      <c r="AL266" s="113"/>
      <c r="AM266" s="113"/>
      <c r="AN266" s="118"/>
      <c r="AO266" s="118"/>
      <c r="AP266" s="118"/>
      <c r="AQ266" s="118"/>
    </row>
    <row r="267" spans="1:48" ht="15.75" customHeight="1">
      <c r="B267" s="113"/>
      <c r="D267" s="110"/>
      <c r="E267" s="114"/>
      <c r="G267" s="110"/>
      <c r="O267" s="115"/>
      <c r="P267" s="115"/>
      <c r="Q267" s="116"/>
      <c r="Z267" s="117"/>
      <c r="AA267" s="117"/>
      <c r="AB267" s="117"/>
      <c r="AC267" s="117"/>
      <c r="AK267" s="113"/>
      <c r="AL267" s="113"/>
      <c r="AM267" s="113"/>
      <c r="AN267" s="118"/>
      <c r="AO267" s="118"/>
      <c r="AP267" s="118"/>
      <c r="AQ267" s="118"/>
    </row>
    <row r="268" spans="1:48" ht="15.75" customHeight="1">
      <c r="B268" s="113"/>
      <c r="D268" s="110"/>
      <c r="E268" s="114"/>
      <c r="G268" s="110"/>
      <c r="O268" s="115"/>
      <c r="P268" s="115"/>
      <c r="Q268" s="116"/>
      <c r="Z268" s="117"/>
      <c r="AA268" s="117"/>
      <c r="AB268" s="117"/>
      <c r="AC268" s="117"/>
      <c r="AK268" s="113"/>
      <c r="AL268" s="113"/>
      <c r="AM268" s="113"/>
      <c r="AN268" s="118"/>
      <c r="AO268" s="118"/>
      <c r="AP268" s="118"/>
      <c r="AQ268" s="118"/>
    </row>
    <row r="269" spans="1:48" ht="15.75" customHeight="1">
      <c r="B269" s="113"/>
      <c r="D269" s="110"/>
      <c r="E269" s="114"/>
      <c r="G269" s="110"/>
      <c r="O269" s="115"/>
      <c r="P269" s="115"/>
      <c r="Q269" s="116"/>
      <c r="Z269" s="117"/>
      <c r="AA269" s="117"/>
      <c r="AB269" s="117"/>
      <c r="AC269" s="117"/>
      <c r="AK269" s="113"/>
      <c r="AL269" s="113"/>
      <c r="AM269" s="113"/>
      <c r="AN269" s="118"/>
      <c r="AO269" s="118"/>
      <c r="AP269" s="118"/>
      <c r="AQ269" s="118"/>
    </row>
    <row r="270" spans="1:48" ht="15.75" customHeight="1">
      <c r="B270" s="113"/>
      <c r="D270" s="110"/>
      <c r="E270" s="114"/>
      <c r="G270" s="110"/>
      <c r="O270" s="115"/>
      <c r="P270" s="115"/>
      <c r="Q270" s="116"/>
      <c r="Z270" s="117"/>
      <c r="AA270" s="117"/>
      <c r="AB270" s="117"/>
      <c r="AC270" s="117"/>
      <c r="AK270" s="113"/>
      <c r="AL270" s="113"/>
      <c r="AM270" s="113"/>
      <c r="AN270" s="118"/>
      <c r="AO270" s="118"/>
      <c r="AP270" s="118"/>
      <c r="AQ270" s="118"/>
    </row>
    <row r="271" spans="1:48" ht="15.75" customHeight="1">
      <c r="B271" s="113"/>
      <c r="D271" s="110"/>
      <c r="E271" s="114"/>
      <c r="G271" s="110"/>
      <c r="O271" s="115"/>
      <c r="P271" s="115"/>
      <c r="Q271" s="116"/>
      <c r="Z271" s="117"/>
      <c r="AA271" s="117"/>
      <c r="AB271" s="117"/>
      <c r="AC271" s="117"/>
      <c r="AK271" s="113"/>
      <c r="AL271" s="113"/>
      <c r="AM271" s="113"/>
      <c r="AN271" s="118"/>
      <c r="AO271" s="118"/>
      <c r="AP271" s="118"/>
      <c r="AQ271" s="118"/>
    </row>
    <row r="272" spans="1:48" ht="15.75" customHeight="1">
      <c r="B272" s="113"/>
      <c r="D272" s="110"/>
      <c r="E272" s="114"/>
      <c r="G272" s="110"/>
      <c r="O272" s="115"/>
      <c r="P272" s="115"/>
      <c r="Q272" s="116"/>
      <c r="Z272" s="117"/>
      <c r="AA272" s="117"/>
      <c r="AB272" s="117"/>
      <c r="AC272" s="117"/>
      <c r="AK272" s="113"/>
      <c r="AL272" s="113"/>
      <c r="AM272" s="113"/>
      <c r="AN272" s="118"/>
      <c r="AO272" s="118"/>
      <c r="AP272" s="118"/>
      <c r="AQ272" s="118"/>
    </row>
    <row r="273" spans="2:43" ht="15.75" customHeight="1">
      <c r="B273" s="113"/>
      <c r="D273" s="110"/>
      <c r="E273" s="114"/>
      <c r="G273" s="110"/>
      <c r="O273" s="115"/>
      <c r="P273" s="115"/>
      <c r="Q273" s="116"/>
      <c r="Z273" s="117"/>
      <c r="AA273" s="117"/>
      <c r="AB273" s="117"/>
      <c r="AC273" s="117"/>
      <c r="AK273" s="113"/>
      <c r="AL273" s="113"/>
      <c r="AM273" s="113"/>
      <c r="AN273" s="118"/>
      <c r="AO273" s="118"/>
      <c r="AP273" s="118"/>
      <c r="AQ273" s="118"/>
    </row>
    <row r="274" spans="2:43" ht="15.75" customHeight="1">
      <c r="B274" s="113"/>
      <c r="D274" s="110"/>
      <c r="E274" s="114"/>
      <c r="G274" s="110"/>
      <c r="O274" s="115"/>
      <c r="P274" s="115"/>
      <c r="Q274" s="116"/>
      <c r="Z274" s="117"/>
      <c r="AA274" s="117"/>
      <c r="AB274" s="117"/>
      <c r="AC274" s="117"/>
      <c r="AK274" s="113"/>
      <c r="AL274" s="113"/>
      <c r="AM274" s="113"/>
      <c r="AN274" s="118"/>
      <c r="AO274" s="118"/>
      <c r="AP274" s="118"/>
      <c r="AQ274" s="118"/>
    </row>
    <row r="275" spans="2:43" ht="15.75" customHeight="1">
      <c r="B275" s="113"/>
      <c r="D275" s="110"/>
      <c r="E275" s="114"/>
      <c r="G275" s="110"/>
      <c r="O275" s="115"/>
      <c r="P275" s="115"/>
      <c r="Q275" s="116"/>
      <c r="Z275" s="117"/>
      <c r="AA275" s="117"/>
      <c r="AB275" s="117"/>
      <c r="AC275" s="117"/>
      <c r="AK275" s="113"/>
      <c r="AL275" s="113"/>
      <c r="AM275" s="113"/>
      <c r="AN275" s="118"/>
      <c r="AO275" s="118"/>
      <c r="AP275" s="118"/>
      <c r="AQ275" s="118"/>
    </row>
    <row r="276" spans="2:43" ht="15.75" customHeight="1">
      <c r="B276" s="113"/>
      <c r="D276" s="110"/>
      <c r="E276" s="114"/>
      <c r="G276" s="110"/>
      <c r="O276" s="115"/>
      <c r="P276" s="115"/>
      <c r="Q276" s="116"/>
      <c r="Z276" s="117"/>
      <c r="AA276" s="117"/>
      <c r="AB276" s="117"/>
      <c r="AC276" s="117"/>
      <c r="AK276" s="113"/>
      <c r="AL276" s="113"/>
      <c r="AM276" s="113"/>
      <c r="AN276" s="118"/>
      <c r="AO276" s="118"/>
      <c r="AP276" s="118"/>
      <c r="AQ276" s="118"/>
    </row>
    <row r="277" spans="2:43" ht="15.75" customHeight="1">
      <c r="B277" s="113"/>
      <c r="D277" s="110"/>
      <c r="E277" s="114"/>
      <c r="G277" s="110"/>
      <c r="O277" s="115"/>
      <c r="P277" s="115"/>
      <c r="Q277" s="116"/>
      <c r="Z277" s="117"/>
      <c r="AA277" s="117"/>
      <c r="AB277" s="117"/>
      <c r="AC277" s="117"/>
      <c r="AK277" s="113"/>
      <c r="AL277" s="113"/>
      <c r="AM277" s="113"/>
      <c r="AN277" s="118"/>
      <c r="AO277" s="118"/>
      <c r="AP277" s="118"/>
      <c r="AQ277" s="118"/>
    </row>
    <row r="278" spans="2:43" ht="15.75" customHeight="1">
      <c r="B278" s="113"/>
      <c r="D278" s="110"/>
      <c r="E278" s="114"/>
      <c r="G278" s="110"/>
      <c r="O278" s="115"/>
      <c r="P278" s="115"/>
      <c r="Q278" s="116"/>
      <c r="Z278" s="117"/>
      <c r="AA278" s="117"/>
      <c r="AB278" s="117"/>
      <c r="AC278" s="117"/>
      <c r="AK278" s="113"/>
      <c r="AL278" s="113"/>
      <c r="AM278" s="113"/>
      <c r="AN278" s="118"/>
      <c r="AO278" s="118"/>
      <c r="AP278" s="118"/>
      <c r="AQ278" s="118"/>
    </row>
    <row r="279" spans="2:43" ht="15.75" customHeight="1">
      <c r="B279" s="113"/>
      <c r="D279" s="110"/>
      <c r="E279" s="114"/>
      <c r="G279" s="110"/>
      <c r="O279" s="115"/>
      <c r="P279" s="115"/>
      <c r="Q279" s="116"/>
      <c r="Z279" s="117"/>
      <c r="AA279" s="117"/>
      <c r="AB279" s="117"/>
      <c r="AC279" s="117"/>
      <c r="AK279" s="113"/>
      <c r="AL279" s="113"/>
      <c r="AM279" s="113"/>
      <c r="AN279" s="118"/>
      <c r="AO279" s="118"/>
      <c r="AP279" s="118"/>
      <c r="AQ279" s="118"/>
    </row>
    <row r="280" spans="2:43" ht="15.75" customHeight="1">
      <c r="B280" s="113"/>
      <c r="D280" s="110"/>
      <c r="E280" s="114"/>
      <c r="G280" s="110"/>
      <c r="O280" s="115"/>
      <c r="P280" s="115"/>
      <c r="Q280" s="116"/>
      <c r="Z280" s="117"/>
      <c r="AA280" s="117"/>
      <c r="AB280" s="117"/>
      <c r="AC280" s="117"/>
      <c r="AK280" s="113"/>
      <c r="AL280" s="113"/>
      <c r="AM280" s="113"/>
      <c r="AN280" s="118"/>
      <c r="AO280" s="118"/>
      <c r="AP280" s="118"/>
      <c r="AQ280" s="118"/>
    </row>
    <row r="281" spans="2:43" ht="15.75" customHeight="1">
      <c r="B281" s="113"/>
      <c r="D281" s="110"/>
      <c r="E281" s="114"/>
      <c r="G281" s="110"/>
      <c r="O281" s="115"/>
      <c r="P281" s="115"/>
      <c r="Q281" s="116"/>
      <c r="Z281" s="117"/>
      <c r="AA281" s="117"/>
      <c r="AB281" s="117"/>
      <c r="AC281" s="117"/>
      <c r="AK281" s="113"/>
      <c r="AL281" s="113"/>
      <c r="AM281" s="113"/>
      <c r="AN281" s="118"/>
      <c r="AO281" s="118"/>
      <c r="AP281" s="118"/>
      <c r="AQ281" s="118"/>
    </row>
    <row r="282" spans="2:43" ht="15.75" customHeight="1">
      <c r="B282" s="113"/>
      <c r="D282" s="110"/>
      <c r="E282" s="114"/>
      <c r="G282" s="110"/>
      <c r="O282" s="115"/>
      <c r="P282" s="115"/>
      <c r="Q282" s="116"/>
      <c r="Z282" s="117"/>
      <c r="AA282" s="117"/>
      <c r="AB282" s="117"/>
      <c r="AC282" s="117"/>
      <c r="AK282" s="113"/>
      <c r="AL282" s="113"/>
      <c r="AM282" s="113"/>
      <c r="AN282" s="118"/>
      <c r="AO282" s="118"/>
      <c r="AP282" s="118"/>
      <c r="AQ282" s="118"/>
    </row>
    <row r="283" spans="2:43" ht="15.75" customHeight="1">
      <c r="B283" s="113"/>
      <c r="D283" s="110"/>
      <c r="E283" s="114"/>
      <c r="G283" s="110"/>
      <c r="O283" s="115"/>
      <c r="P283" s="115"/>
      <c r="Q283" s="116"/>
      <c r="Z283" s="117"/>
      <c r="AA283" s="117"/>
      <c r="AB283" s="117"/>
      <c r="AC283" s="117"/>
      <c r="AK283" s="113"/>
      <c r="AL283" s="113"/>
      <c r="AM283" s="113"/>
      <c r="AN283" s="118"/>
      <c r="AO283" s="118"/>
      <c r="AP283" s="118"/>
      <c r="AQ283" s="118"/>
    </row>
    <row r="284" spans="2:43" ht="15.75" customHeight="1">
      <c r="B284" s="113"/>
      <c r="D284" s="110"/>
      <c r="E284" s="114"/>
      <c r="G284" s="110"/>
      <c r="O284" s="115"/>
      <c r="P284" s="115"/>
      <c r="Q284" s="116"/>
      <c r="Z284" s="117"/>
      <c r="AA284" s="117"/>
      <c r="AB284" s="117"/>
      <c r="AC284" s="117"/>
      <c r="AK284" s="113"/>
      <c r="AL284" s="113"/>
      <c r="AM284" s="113"/>
      <c r="AN284" s="118"/>
      <c r="AO284" s="118"/>
      <c r="AP284" s="118"/>
      <c r="AQ284" s="118"/>
    </row>
    <row r="285" spans="2:43" ht="15.75" customHeight="1">
      <c r="B285" s="113"/>
      <c r="D285" s="110"/>
      <c r="E285" s="114"/>
      <c r="G285" s="110"/>
      <c r="O285" s="115"/>
      <c r="P285" s="115"/>
      <c r="Q285" s="116"/>
      <c r="Z285" s="117"/>
      <c r="AA285" s="117"/>
      <c r="AB285" s="117"/>
      <c r="AC285" s="117"/>
      <c r="AK285" s="113"/>
      <c r="AL285" s="113"/>
      <c r="AM285" s="113"/>
      <c r="AN285" s="118"/>
      <c r="AO285" s="118"/>
      <c r="AP285" s="118"/>
      <c r="AQ285" s="118"/>
    </row>
    <row r="286" spans="2:43" ht="15.75" customHeight="1">
      <c r="B286" s="113"/>
      <c r="D286" s="110"/>
      <c r="E286" s="114"/>
      <c r="G286" s="110"/>
      <c r="O286" s="115"/>
      <c r="P286" s="115"/>
      <c r="Q286" s="116"/>
      <c r="Z286" s="117"/>
      <c r="AA286" s="117"/>
      <c r="AB286" s="117"/>
      <c r="AC286" s="117"/>
      <c r="AK286" s="113"/>
      <c r="AL286" s="113"/>
      <c r="AM286" s="113"/>
      <c r="AN286" s="118"/>
      <c r="AO286" s="118"/>
      <c r="AP286" s="118"/>
      <c r="AQ286" s="118"/>
    </row>
    <row r="287" spans="2:43" ht="15.75" customHeight="1">
      <c r="B287" s="113"/>
      <c r="D287" s="110"/>
      <c r="E287" s="114"/>
      <c r="G287" s="110"/>
      <c r="O287" s="115"/>
      <c r="P287" s="115"/>
      <c r="Q287" s="116"/>
      <c r="Z287" s="117"/>
      <c r="AA287" s="117"/>
      <c r="AB287" s="117"/>
      <c r="AC287" s="117"/>
      <c r="AK287" s="113"/>
      <c r="AL287" s="113"/>
      <c r="AM287" s="113"/>
      <c r="AN287" s="118"/>
      <c r="AO287" s="118"/>
      <c r="AP287" s="118"/>
      <c r="AQ287" s="118"/>
    </row>
    <row r="288" spans="2:43" ht="15.75" customHeight="1">
      <c r="B288" s="113"/>
      <c r="D288" s="110"/>
      <c r="E288" s="114"/>
      <c r="G288" s="110"/>
      <c r="O288" s="115"/>
      <c r="P288" s="115"/>
      <c r="Q288" s="116"/>
      <c r="Z288" s="117"/>
      <c r="AA288" s="117"/>
      <c r="AB288" s="117"/>
      <c r="AC288" s="117"/>
      <c r="AK288" s="113"/>
      <c r="AL288" s="113"/>
      <c r="AM288" s="113"/>
      <c r="AN288" s="118"/>
      <c r="AO288" s="118"/>
      <c r="AP288" s="118"/>
      <c r="AQ288" s="118"/>
    </row>
    <row r="289" spans="2:43" ht="15.75" customHeight="1">
      <c r="B289" s="113"/>
      <c r="D289" s="110"/>
      <c r="E289" s="114"/>
      <c r="G289" s="110"/>
      <c r="O289" s="115"/>
      <c r="P289" s="115"/>
      <c r="Q289" s="116"/>
      <c r="Z289" s="117"/>
      <c r="AA289" s="117"/>
      <c r="AB289" s="117"/>
      <c r="AC289" s="117"/>
      <c r="AK289" s="113"/>
      <c r="AL289" s="113"/>
      <c r="AM289" s="113"/>
      <c r="AN289" s="118"/>
      <c r="AO289" s="118"/>
      <c r="AP289" s="118"/>
      <c r="AQ289" s="118"/>
    </row>
    <row r="290" spans="2:43" ht="15.75" customHeight="1">
      <c r="B290" s="113"/>
      <c r="D290" s="110"/>
      <c r="E290" s="114"/>
      <c r="G290" s="110"/>
      <c r="O290" s="115"/>
      <c r="P290" s="115"/>
      <c r="Q290" s="116"/>
      <c r="Z290" s="117"/>
      <c r="AA290" s="117"/>
      <c r="AB290" s="117"/>
      <c r="AC290" s="117"/>
      <c r="AK290" s="113"/>
      <c r="AL290" s="113"/>
      <c r="AM290" s="113"/>
      <c r="AN290" s="118"/>
      <c r="AO290" s="118"/>
      <c r="AP290" s="118"/>
      <c r="AQ290" s="118"/>
    </row>
    <row r="291" spans="2:43" ht="15.75" customHeight="1">
      <c r="B291" s="113"/>
      <c r="D291" s="110"/>
      <c r="E291" s="114"/>
      <c r="G291" s="110"/>
      <c r="O291" s="115"/>
      <c r="P291" s="115"/>
      <c r="Q291" s="116"/>
      <c r="Z291" s="117"/>
      <c r="AA291" s="117"/>
      <c r="AB291" s="117"/>
      <c r="AC291" s="117"/>
      <c r="AK291" s="113"/>
      <c r="AL291" s="113"/>
      <c r="AM291" s="113"/>
      <c r="AN291" s="118"/>
      <c r="AO291" s="118"/>
      <c r="AP291" s="118"/>
      <c r="AQ291" s="118"/>
    </row>
    <row r="292" spans="2:43" ht="15.75" customHeight="1">
      <c r="B292" s="113"/>
      <c r="D292" s="110"/>
      <c r="E292" s="114"/>
      <c r="G292" s="110"/>
      <c r="O292" s="115"/>
      <c r="P292" s="115"/>
      <c r="Q292" s="116"/>
      <c r="Z292" s="117"/>
      <c r="AA292" s="117"/>
      <c r="AB292" s="117"/>
      <c r="AC292" s="117"/>
      <c r="AK292" s="113"/>
      <c r="AL292" s="113"/>
      <c r="AM292" s="113"/>
      <c r="AN292" s="118"/>
      <c r="AO292" s="118"/>
      <c r="AP292" s="118"/>
      <c r="AQ292" s="118"/>
    </row>
    <row r="293" spans="2:43" ht="15.75" customHeight="1">
      <c r="B293" s="113"/>
      <c r="D293" s="110"/>
      <c r="E293" s="114"/>
      <c r="G293" s="110"/>
      <c r="O293" s="115"/>
      <c r="P293" s="115"/>
      <c r="Q293" s="116"/>
      <c r="Z293" s="117"/>
      <c r="AA293" s="117"/>
      <c r="AB293" s="117"/>
      <c r="AC293" s="117"/>
      <c r="AK293" s="113"/>
      <c r="AL293" s="113"/>
      <c r="AM293" s="113"/>
      <c r="AN293" s="118"/>
      <c r="AO293" s="118"/>
      <c r="AP293" s="118"/>
      <c r="AQ293" s="118"/>
    </row>
    <row r="294" spans="2:43" ht="15.75" customHeight="1">
      <c r="B294" s="113"/>
      <c r="D294" s="110"/>
      <c r="E294" s="114"/>
      <c r="G294" s="110"/>
      <c r="O294" s="115"/>
      <c r="P294" s="115"/>
      <c r="Q294" s="116"/>
      <c r="Z294" s="117"/>
      <c r="AA294" s="117"/>
      <c r="AB294" s="117"/>
      <c r="AC294" s="117"/>
      <c r="AK294" s="113"/>
      <c r="AL294" s="113"/>
      <c r="AM294" s="113"/>
      <c r="AN294" s="118"/>
      <c r="AO294" s="118"/>
      <c r="AP294" s="118"/>
      <c r="AQ294" s="118"/>
    </row>
    <row r="295" spans="2:43" ht="15.75" customHeight="1">
      <c r="B295" s="113"/>
      <c r="D295" s="110"/>
      <c r="E295" s="114"/>
      <c r="G295" s="110"/>
      <c r="O295" s="115"/>
      <c r="P295" s="115"/>
      <c r="Q295" s="116"/>
      <c r="Z295" s="117"/>
      <c r="AA295" s="117"/>
      <c r="AB295" s="117"/>
      <c r="AC295" s="117"/>
      <c r="AK295" s="113"/>
      <c r="AL295" s="113"/>
      <c r="AM295" s="113"/>
      <c r="AN295" s="118"/>
      <c r="AO295" s="118"/>
      <c r="AP295" s="118"/>
      <c r="AQ295" s="118"/>
    </row>
    <row r="296" spans="2:43" ht="15.75" customHeight="1">
      <c r="B296" s="113"/>
      <c r="D296" s="110"/>
      <c r="E296" s="114"/>
      <c r="G296" s="110"/>
      <c r="O296" s="115"/>
      <c r="P296" s="115"/>
      <c r="Q296" s="116"/>
      <c r="Z296" s="117"/>
      <c r="AA296" s="117"/>
      <c r="AB296" s="117"/>
      <c r="AC296" s="117"/>
      <c r="AK296" s="113"/>
      <c r="AL296" s="113"/>
      <c r="AM296" s="113"/>
      <c r="AN296" s="118"/>
      <c r="AO296" s="118"/>
      <c r="AP296" s="118"/>
      <c r="AQ296" s="118"/>
    </row>
    <row r="297" spans="2:43" ht="15.75" customHeight="1">
      <c r="B297" s="113"/>
      <c r="D297" s="110"/>
      <c r="E297" s="114"/>
      <c r="G297" s="110"/>
      <c r="O297" s="115"/>
      <c r="P297" s="115"/>
      <c r="Q297" s="116"/>
      <c r="Z297" s="117"/>
      <c r="AA297" s="117"/>
      <c r="AB297" s="117"/>
      <c r="AC297" s="117"/>
      <c r="AK297" s="113"/>
      <c r="AL297" s="113"/>
      <c r="AM297" s="113"/>
      <c r="AN297" s="118"/>
      <c r="AO297" s="118"/>
      <c r="AP297" s="118"/>
      <c r="AQ297" s="118"/>
    </row>
    <row r="298" spans="2:43" ht="15.75" customHeight="1">
      <c r="B298" s="113"/>
      <c r="D298" s="110"/>
      <c r="E298" s="114"/>
      <c r="G298" s="110"/>
      <c r="O298" s="115"/>
      <c r="P298" s="115"/>
      <c r="Q298" s="116"/>
      <c r="Z298" s="117"/>
      <c r="AA298" s="117"/>
      <c r="AB298" s="117"/>
      <c r="AC298" s="117"/>
      <c r="AK298" s="113"/>
      <c r="AL298" s="113"/>
      <c r="AM298" s="113"/>
      <c r="AN298" s="118"/>
      <c r="AO298" s="118"/>
      <c r="AP298" s="118"/>
      <c r="AQ298" s="118"/>
    </row>
    <row r="299" spans="2:43" ht="15.75" customHeight="1">
      <c r="B299" s="113"/>
      <c r="D299" s="110"/>
      <c r="E299" s="114"/>
      <c r="G299" s="110"/>
      <c r="O299" s="115"/>
      <c r="P299" s="115"/>
      <c r="Q299" s="116"/>
      <c r="Z299" s="117"/>
      <c r="AA299" s="117"/>
      <c r="AB299" s="117"/>
      <c r="AC299" s="117"/>
      <c r="AK299" s="113"/>
      <c r="AL299" s="113"/>
      <c r="AM299" s="113"/>
      <c r="AN299" s="118"/>
      <c r="AO299" s="118"/>
      <c r="AP299" s="118"/>
      <c r="AQ299" s="118"/>
    </row>
    <row r="300" spans="2:43" ht="15.75" customHeight="1">
      <c r="B300" s="113"/>
      <c r="D300" s="110"/>
      <c r="E300" s="114"/>
      <c r="G300" s="110"/>
      <c r="O300" s="115"/>
      <c r="P300" s="115"/>
      <c r="Q300" s="116"/>
      <c r="Z300" s="117"/>
      <c r="AA300" s="117"/>
      <c r="AB300" s="117"/>
      <c r="AC300" s="117"/>
      <c r="AK300" s="113"/>
      <c r="AL300" s="113"/>
      <c r="AM300" s="113"/>
      <c r="AN300" s="118"/>
      <c r="AO300" s="118"/>
      <c r="AP300" s="118"/>
      <c r="AQ300" s="118"/>
    </row>
    <row r="301" spans="2:43" ht="15.75" customHeight="1">
      <c r="B301" s="113"/>
      <c r="D301" s="110"/>
      <c r="E301" s="114"/>
      <c r="G301" s="110"/>
      <c r="O301" s="115"/>
      <c r="P301" s="115"/>
      <c r="Q301" s="116"/>
      <c r="Z301" s="117"/>
      <c r="AA301" s="117"/>
      <c r="AB301" s="117"/>
      <c r="AC301" s="117"/>
      <c r="AK301" s="113"/>
      <c r="AL301" s="113"/>
      <c r="AM301" s="113"/>
      <c r="AN301" s="118"/>
      <c r="AO301" s="118"/>
      <c r="AP301" s="118"/>
      <c r="AQ301" s="118"/>
    </row>
    <row r="302" spans="2:43" ht="15.75" customHeight="1">
      <c r="B302" s="113"/>
      <c r="D302" s="110"/>
      <c r="E302" s="114"/>
      <c r="G302" s="110"/>
      <c r="O302" s="115"/>
      <c r="P302" s="115"/>
      <c r="Q302" s="116"/>
      <c r="Z302" s="117"/>
      <c r="AA302" s="117"/>
      <c r="AB302" s="117"/>
      <c r="AC302" s="117"/>
      <c r="AK302" s="113"/>
      <c r="AL302" s="113"/>
      <c r="AM302" s="113"/>
      <c r="AN302" s="118"/>
      <c r="AO302" s="118"/>
      <c r="AP302" s="118"/>
      <c r="AQ302" s="118"/>
    </row>
    <row r="303" spans="2:43" ht="15.75" customHeight="1">
      <c r="B303" s="113"/>
      <c r="D303" s="110"/>
      <c r="E303" s="114"/>
      <c r="G303" s="110"/>
      <c r="O303" s="115"/>
      <c r="P303" s="115"/>
      <c r="Q303" s="116"/>
      <c r="Z303" s="117"/>
      <c r="AA303" s="117"/>
      <c r="AB303" s="117"/>
      <c r="AC303" s="117"/>
      <c r="AK303" s="113"/>
      <c r="AL303" s="113"/>
      <c r="AM303" s="113"/>
      <c r="AN303" s="118"/>
      <c r="AO303" s="118"/>
      <c r="AP303" s="118"/>
      <c r="AQ303" s="118"/>
    </row>
    <row r="304" spans="2:43" ht="15.75" customHeight="1">
      <c r="B304" s="113"/>
      <c r="D304" s="110"/>
      <c r="E304" s="114"/>
      <c r="G304" s="110"/>
      <c r="O304" s="115"/>
      <c r="P304" s="115"/>
      <c r="Q304" s="116"/>
      <c r="Z304" s="117"/>
      <c r="AA304" s="117"/>
      <c r="AB304" s="117"/>
      <c r="AC304" s="117"/>
      <c r="AK304" s="113"/>
      <c r="AL304" s="113"/>
      <c r="AM304" s="113"/>
      <c r="AN304" s="118"/>
      <c r="AO304" s="118"/>
      <c r="AP304" s="118"/>
      <c r="AQ304" s="118"/>
    </row>
    <row r="305" spans="2:43" ht="15.75" customHeight="1">
      <c r="B305" s="113"/>
      <c r="D305" s="110"/>
      <c r="E305" s="114"/>
      <c r="G305" s="110"/>
      <c r="O305" s="115"/>
      <c r="P305" s="115"/>
      <c r="Q305" s="116"/>
      <c r="Z305" s="117"/>
      <c r="AA305" s="117"/>
      <c r="AB305" s="117"/>
      <c r="AC305" s="117"/>
      <c r="AK305" s="113"/>
      <c r="AL305" s="113"/>
      <c r="AM305" s="113"/>
      <c r="AN305" s="118"/>
      <c r="AO305" s="118"/>
      <c r="AP305" s="118"/>
      <c r="AQ305" s="118"/>
    </row>
    <row r="306" spans="2:43" ht="15.75" customHeight="1">
      <c r="B306" s="113"/>
      <c r="D306" s="110"/>
      <c r="E306" s="114"/>
      <c r="G306" s="110"/>
      <c r="O306" s="115"/>
      <c r="P306" s="115"/>
      <c r="Q306" s="116"/>
      <c r="Z306" s="117"/>
      <c r="AA306" s="117"/>
      <c r="AB306" s="117"/>
      <c r="AC306" s="117"/>
      <c r="AK306" s="113"/>
      <c r="AL306" s="113"/>
      <c r="AM306" s="113"/>
      <c r="AN306" s="118"/>
      <c r="AO306" s="118"/>
      <c r="AP306" s="118"/>
      <c r="AQ306" s="118"/>
    </row>
    <row r="307" spans="2:43" ht="15.75" customHeight="1">
      <c r="B307" s="113"/>
      <c r="D307" s="110"/>
      <c r="E307" s="114"/>
      <c r="G307" s="110"/>
      <c r="O307" s="115"/>
      <c r="P307" s="115"/>
      <c r="Q307" s="116"/>
      <c r="Z307" s="117"/>
      <c r="AA307" s="117"/>
      <c r="AB307" s="117"/>
      <c r="AC307" s="117"/>
      <c r="AK307" s="113"/>
      <c r="AL307" s="113"/>
      <c r="AM307" s="113"/>
      <c r="AN307" s="118"/>
      <c r="AO307" s="118"/>
      <c r="AP307" s="118"/>
      <c r="AQ307" s="118"/>
    </row>
    <row r="308" spans="2:43" ht="15.75" customHeight="1">
      <c r="B308" s="113"/>
      <c r="D308" s="110"/>
      <c r="E308" s="114"/>
      <c r="G308" s="110"/>
      <c r="O308" s="115"/>
      <c r="P308" s="115"/>
      <c r="Q308" s="116"/>
      <c r="Z308" s="117"/>
      <c r="AA308" s="117"/>
      <c r="AB308" s="117"/>
      <c r="AC308" s="117"/>
      <c r="AK308" s="113"/>
      <c r="AL308" s="113"/>
      <c r="AM308" s="113"/>
      <c r="AN308" s="118"/>
      <c r="AO308" s="118"/>
      <c r="AP308" s="118"/>
      <c r="AQ308" s="118"/>
    </row>
    <row r="309" spans="2:43" ht="15.75" customHeight="1">
      <c r="B309" s="113"/>
      <c r="D309" s="110"/>
      <c r="E309" s="114"/>
      <c r="G309" s="110"/>
      <c r="O309" s="115"/>
      <c r="P309" s="115"/>
      <c r="Q309" s="116"/>
      <c r="Z309" s="117"/>
      <c r="AA309" s="117"/>
      <c r="AB309" s="117"/>
      <c r="AC309" s="117"/>
      <c r="AK309" s="113"/>
      <c r="AL309" s="113"/>
      <c r="AM309" s="113"/>
      <c r="AN309" s="118"/>
      <c r="AO309" s="118"/>
      <c r="AP309" s="118"/>
      <c r="AQ309" s="118"/>
    </row>
    <row r="310" spans="2:43" ht="15.75" customHeight="1">
      <c r="B310" s="113"/>
      <c r="D310" s="110"/>
      <c r="E310" s="114"/>
      <c r="G310" s="110"/>
      <c r="O310" s="115"/>
      <c r="P310" s="115"/>
      <c r="Q310" s="116"/>
      <c r="Z310" s="117"/>
      <c r="AA310" s="117"/>
      <c r="AB310" s="117"/>
      <c r="AC310" s="117"/>
      <c r="AK310" s="113"/>
      <c r="AL310" s="113"/>
      <c r="AM310" s="113"/>
      <c r="AN310" s="118"/>
      <c r="AO310" s="118"/>
      <c r="AP310" s="118"/>
      <c r="AQ310" s="118"/>
    </row>
    <row r="311" spans="2:43" ht="15.75" customHeight="1">
      <c r="B311" s="113"/>
      <c r="D311" s="110"/>
      <c r="E311" s="114"/>
      <c r="G311" s="110"/>
      <c r="O311" s="115"/>
      <c r="P311" s="115"/>
      <c r="Q311" s="116"/>
      <c r="Z311" s="117"/>
      <c r="AA311" s="117"/>
      <c r="AB311" s="117"/>
      <c r="AC311" s="117"/>
      <c r="AK311" s="113"/>
      <c r="AL311" s="113"/>
      <c r="AM311" s="113"/>
      <c r="AN311" s="118"/>
      <c r="AO311" s="118"/>
      <c r="AP311" s="118"/>
      <c r="AQ311" s="118"/>
    </row>
    <row r="312" spans="2:43" ht="15.75" customHeight="1">
      <c r="B312" s="113"/>
      <c r="D312" s="110"/>
      <c r="E312" s="114"/>
      <c r="G312" s="110"/>
      <c r="O312" s="115"/>
      <c r="P312" s="115"/>
      <c r="Q312" s="116"/>
      <c r="Z312" s="117"/>
      <c r="AA312" s="117"/>
      <c r="AB312" s="117"/>
      <c r="AC312" s="117"/>
      <c r="AK312" s="113"/>
      <c r="AL312" s="113"/>
      <c r="AM312" s="113"/>
      <c r="AN312" s="118"/>
      <c r="AO312" s="118"/>
      <c r="AP312" s="118"/>
      <c r="AQ312" s="118"/>
    </row>
    <row r="313" spans="2:43" ht="15.75" customHeight="1">
      <c r="B313" s="113"/>
      <c r="D313" s="110"/>
      <c r="E313" s="114"/>
      <c r="G313" s="110"/>
      <c r="O313" s="115"/>
      <c r="P313" s="115"/>
      <c r="Q313" s="116"/>
      <c r="Z313" s="117"/>
      <c r="AA313" s="117"/>
      <c r="AB313" s="117"/>
      <c r="AC313" s="117"/>
      <c r="AK313" s="113"/>
      <c r="AL313" s="113"/>
      <c r="AM313" s="113"/>
      <c r="AN313" s="118"/>
      <c r="AO313" s="118"/>
      <c r="AP313" s="118"/>
      <c r="AQ313" s="118"/>
    </row>
    <row r="314" spans="2:43" ht="15.75" customHeight="1">
      <c r="B314" s="113"/>
      <c r="D314" s="110"/>
      <c r="E314" s="114"/>
      <c r="G314" s="110"/>
      <c r="O314" s="115"/>
      <c r="P314" s="115"/>
      <c r="Q314" s="116"/>
      <c r="Z314" s="117"/>
      <c r="AA314" s="117"/>
      <c r="AB314" s="117"/>
      <c r="AC314" s="117"/>
      <c r="AK314" s="113"/>
      <c r="AL314" s="113"/>
      <c r="AM314" s="113"/>
      <c r="AN314" s="118"/>
      <c r="AO314" s="118"/>
      <c r="AP314" s="118"/>
      <c r="AQ314" s="118"/>
    </row>
    <row r="315" spans="2:43" ht="15.75" customHeight="1">
      <c r="B315" s="113"/>
      <c r="D315" s="110"/>
      <c r="E315" s="114"/>
      <c r="G315" s="110"/>
      <c r="O315" s="115"/>
      <c r="P315" s="115"/>
      <c r="Q315" s="116"/>
      <c r="Z315" s="117"/>
      <c r="AA315" s="117"/>
      <c r="AB315" s="117"/>
      <c r="AC315" s="117"/>
      <c r="AK315" s="113"/>
      <c r="AL315" s="113"/>
      <c r="AM315" s="113"/>
      <c r="AN315" s="118"/>
      <c r="AO315" s="118"/>
      <c r="AP315" s="118"/>
      <c r="AQ315" s="118"/>
    </row>
    <row r="316" spans="2:43" ht="15.75" customHeight="1">
      <c r="B316" s="113"/>
      <c r="D316" s="110"/>
      <c r="E316" s="114"/>
      <c r="G316" s="110"/>
      <c r="O316" s="115"/>
      <c r="P316" s="115"/>
      <c r="Q316" s="116"/>
      <c r="Z316" s="117"/>
      <c r="AA316" s="117"/>
      <c r="AB316" s="117"/>
      <c r="AC316" s="117"/>
      <c r="AK316" s="113"/>
      <c r="AL316" s="113"/>
      <c r="AM316" s="113"/>
      <c r="AN316" s="118"/>
      <c r="AO316" s="118"/>
      <c r="AP316" s="118"/>
      <c r="AQ316" s="118"/>
    </row>
    <row r="317" spans="2:43" ht="15.75" customHeight="1">
      <c r="B317" s="113"/>
      <c r="D317" s="110"/>
      <c r="E317" s="114"/>
      <c r="G317" s="110"/>
      <c r="O317" s="115"/>
      <c r="P317" s="115"/>
      <c r="Q317" s="116"/>
      <c r="Z317" s="117"/>
      <c r="AA317" s="117"/>
      <c r="AB317" s="117"/>
      <c r="AC317" s="117"/>
      <c r="AK317" s="113"/>
      <c r="AL317" s="113"/>
      <c r="AM317" s="113"/>
      <c r="AN317" s="118"/>
      <c r="AO317" s="118"/>
      <c r="AP317" s="118"/>
      <c r="AQ317" s="118"/>
    </row>
    <row r="318" spans="2:43" ht="15.75" customHeight="1">
      <c r="B318" s="113"/>
      <c r="D318" s="110"/>
      <c r="E318" s="114"/>
      <c r="G318" s="110"/>
      <c r="O318" s="115"/>
      <c r="P318" s="115"/>
      <c r="Q318" s="116"/>
      <c r="Z318" s="117"/>
      <c r="AA318" s="117"/>
      <c r="AB318" s="117"/>
      <c r="AC318" s="117"/>
      <c r="AK318" s="113"/>
      <c r="AL318" s="113"/>
      <c r="AM318" s="113"/>
      <c r="AN318" s="118"/>
      <c r="AO318" s="118"/>
      <c r="AP318" s="118"/>
      <c r="AQ318" s="118"/>
    </row>
    <row r="319" spans="2:43" ht="15.75" customHeight="1">
      <c r="B319" s="113"/>
      <c r="D319" s="110"/>
      <c r="E319" s="114"/>
      <c r="G319" s="110"/>
      <c r="O319" s="115"/>
      <c r="P319" s="115"/>
      <c r="Q319" s="116"/>
      <c r="Z319" s="117"/>
      <c r="AA319" s="117"/>
      <c r="AB319" s="117"/>
      <c r="AC319" s="117"/>
      <c r="AK319" s="113"/>
      <c r="AL319" s="113"/>
      <c r="AM319" s="113"/>
      <c r="AN319" s="118"/>
      <c r="AO319" s="118"/>
      <c r="AP319" s="118"/>
      <c r="AQ319" s="118"/>
    </row>
    <row r="320" spans="2:43" ht="15.75" customHeight="1">
      <c r="B320" s="113"/>
      <c r="D320" s="110"/>
      <c r="E320" s="114"/>
      <c r="G320" s="110"/>
      <c r="O320" s="115"/>
      <c r="P320" s="115"/>
      <c r="Q320" s="116"/>
      <c r="Z320" s="117"/>
      <c r="AA320" s="117"/>
      <c r="AB320" s="117"/>
      <c r="AC320" s="117"/>
      <c r="AK320" s="113"/>
      <c r="AL320" s="113"/>
      <c r="AM320" s="113"/>
      <c r="AN320" s="118"/>
      <c r="AO320" s="118"/>
      <c r="AP320" s="118"/>
      <c r="AQ320" s="118"/>
    </row>
    <row r="321" spans="2:43" ht="15.75" customHeight="1">
      <c r="B321" s="113"/>
      <c r="D321" s="110"/>
      <c r="E321" s="114"/>
      <c r="G321" s="110"/>
      <c r="O321" s="115"/>
      <c r="P321" s="115"/>
      <c r="Q321" s="116"/>
      <c r="Z321" s="117"/>
      <c r="AA321" s="117"/>
      <c r="AB321" s="117"/>
      <c r="AC321" s="117"/>
      <c r="AK321" s="113"/>
      <c r="AL321" s="113"/>
      <c r="AM321" s="113"/>
      <c r="AN321" s="118"/>
      <c r="AO321" s="118"/>
      <c r="AP321" s="118"/>
      <c r="AQ321" s="118"/>
    </row>
    <row r="322" spans="2:43" ht="15.75" customHeight="1">
      <c r="B322" s="113"/>
      <c r="D322" s="110"/>
      <c r="E322" s="114"/>
      <c r="G322" s="110"/>
      <c r="O322" s="115"/>
      <c r="P322" s="115"/>
      <c r="Q322" s="116"/>
      <c r="Z322" s="117"/>
      <c r="AA322" s="117"/>
      <c r="AB322" s="117"/>
      <c r="AC322" s="117"/>
      <c r="AK322" s="113"/>
      <c r="AL322" s="113"/>
      <c r="AM322" s="113"/>
      <c r="AN322" s="118"/>
      <c r="AO322" s="118"/>
      <c r="AP322" s="118"/>
      <c r="AQ322" s="118"/>
    </row>
    <row r="323" spans="2:43" ht="15.75" customHeight="1">
      <c r="B323" s="113"/>
      <c r="D323" s="110"/>
      <c r="E323" s="114"/>
      <c r="G323" s="110"/>
      <c r="O323" s="115"/>
      <c r="P323" s="115"/>
      <c r="Q323" s="116"/>
      <c r="Z323" s="117"/>
      <c r="AA323" s="117"/>
      <c r="AB323" s="117"/>
      <c r="AC323" s="117"/>
      <c r="AK323" s="113"/>
      <c r="AL323" s="113"/>
      <c r="AM323" s="113"/>
      <c r="AN323" s="118"/>
      <c r="AO323" s="118"/>
      <c r="AP323" s="118"/>
      <c r="AQ323" s="118"/>
    </row>
    <row r="324" spans="2:43" ht="15.75" customHeight="1">
      <c r="B324" s="113"/>
      <c r="D324" s="110"/>
      <c r="E324" s="114"/>
      <c r="G324" s="110"/>
      <c r="O324" s="115"/>
      <c r="P324" s="115"/>
      <c r="Q324" s="116"/>
      <c r="Z324" s="117"/>
      <c r="AA324" s="117"/>
      <c r="AB324" s="117"/>
      <c r="AC324" s="117"/>
      <c r="AK324" s="113"/>
      <c r="AL324" s="113"/>
      <c r="AM324" s="113"/>
      <c r="AN324" s="118"/>
      <c r="AO324" s="118"/>
      <c r="AP324" s="118"/>
      <c r="AQ324" s="118"/>
    </row>
    <row r="325" spans="2:43" ht="15.75" customHeight="1">
      <c r="B325" s="113"/>
      <c r="D325" s="110"/>
      <c r="E325" s="114"/>
      <c r="G325" s="110"/>
      <c r="O325" s="115"/>
      <c r="P325" s="115"/>
      <c r="Q325" s="116"/>
      <c r="Z325" s="117"/>
      <c r="AA325" s="117"/>
      <c r="AB325" s="117"/>
      <c r="AC325" s="117"/>
      <c r="AK325" s="113"/>
      <c r="AL325" s="113"/>
      <c r="AM325" s="113"/>
      <c r="AN325" s="118"/>
      <c r="AO325" s="118"/>
      <c r="AP325" s="118"/>
      <c r="AQ325" s="118"/>
    </row>
    <row r="326" spans="2:43" ht="15.75" customHeight="1">
      <c r="B326" s="113"/>
      <c r="D326" s="110"/>
      <c r="E326" s="114"/>
      <c r="G326" s="110"/>
      <c r="O326" s="115"/>
      <c r="P326" s="115"/>
      <c r="Q326" s="116"/>
      <c r="Z326" s="117"/>
      <c r="AA326" s="117"/>
      <c r="AB326" s="117"/>
      <c r="AC326" s="117"/>
      <c r="AK326" s="113"/>
      <c r="AL326" s="113"/>
      <c r="AM326" s="113"/>
      <c r="AN326" s="118"/>
      <c r="AO326" s="118"/>
      <c r="AP326" s="118"/>
      <c r="AQ326" s="118"/>
    </row>
    <row r="327" spans="2:43" ht="15.75" customHeight="1">
      <c r="B327" s="113"/>
      <c r="D327" s="110"/>
      <c r="E327" s="114"/>
      <c r="G327" s="110"/>
      <c r="O327" s="115"/>
      <c r="P327" s="115"/>
      <c r="Q327" s="116"/>
      <c r="Z327" s="117"/>
      <c r="AA327" s="117"/>
      <c r="AB327" s="117"/>
      <c r="AC327" s="117"/>
      <c r="AK327" s="113"/>
      <c r="AL327" s="113"/>
      <c r="AM327" s="113"/>
      <c r="AN327" s="118"/>
      <c r="AO327" s="118"/>
      <c r="AP327" s="118"/>
      <c r="AQ327" s="118"/>
    </row>
    <row r="328" spans="2:43" ht="15.75" customHeight="1">
      <c r="B328" s="113"/>
      <c r="D328" s="110"/>
      <c r="E328" s="114"/>
      <c r="G328" s="110"/>
      <c r="O328" s="115"/>
      <c r="P328" s="115"/>
      <c r="Q328" s="116"/>
      <c r="Z328" s="117"/>
      <c r="AA328" s="117"/>
      <c r="AB328" s="117"/>
      <c r="AC328" s="117"/>
      <c r="AK328" s="113"/>
      <c r="AL328" s="113"/>
      <c r="AM328" s="113"/>
      <c r="AN328" s="118"/>
      <c r="AO328" s="118"/>
      <c r="AP328" s="118"/>
      <c r="AQ328" s="118"/>
    </row>
    <row r="329" spans="2:43" ht="15.75" customHeight="1">
      <c r="B329" s="113"/>
      <c r="D329" s="110"/>
      <c r="E329" s="114"/>
      <c r="G329" s="110"/>
      <c r="O329" s="115"/>
      <c r="P329" s="115"/>
      <c r="Q329" s="116"/>
      <c r="Z329" s="117"/>
      <c r="AA329" s="117"/>
      <c r="AB329" s="117"/>
      <c r="AC329" s="117"/>
      <c r="AK329" s="113"/>
      <c r="AL329" s="113"/>
      <c r="AM329" s="113"/>
      <c r="AN329" s="118"/>
      <c r="AO329" s="118"/>
      <c r="AP329" s="118"/>
      <c r="AQ329" s="118"/>
    </row>
    <row r="330" spans="2:43" ht="15.75" customHeight="1">
      <c r="B330" s="113"/>
      <c r="D330" s="110"/>
      <c r="E330" s="114"/>
      <c r="G330" s="110"/>
      <c r="O330" s="115"/>
      <c r="P330" s="115"/>
      <c r="Q330" s="116"/>
      <c r="Z330" s="117"/>
      <c r="AA330" s="117"/>
      <c r="AB330" s="117"/>
      <c r="AC330" s="117"/>
      <c r="AK330" s="113"/>
      <c r="AL330" s="113"/>
      <c r="AM330" s="113"/>
      <c r="AN330" s="118"/>
      <c r="AO330" s="118"/>
      <c r="AP330" s="118"/>
      <c r="AQ330" s="118"/>
    </row>
    <row r="331" spans="2:43" ht="15.75" customHeight="1">
      <c r="B331" s="113"/>
      <c r="D331" s="110"/>
      <c r="E331" s="114"/>
      <c r="G331" s="110"/>
      <c r="O331" s="115"/>
      <c r="P331" s="115"/>
      <c r="Q331" s="116"/>
      <c r="Z331" s="117"/>
      <c r="AA331" s="117"/>
      <c r="AB331" s="117"/>
      <c r="AC331" s="117"/>
      <c r="AK331" s="113"/>
      <c r="AL331" s="113"/>
      <c r="AM331" s="113"/>
      <c r="AN331" s="118"/>
      <c r="AO331" s="118"/>
      <c r="AP331" s="118"/>
      <c r="AQ331" s="118"/>
    </row>
    <row r="332" spans="2:43" ht="15.75" customHeight="1">
      <c r="B332" s="113"/>
      <c r="D332" s="110"/>
      <c r="E332" s="114"/>
      <c r="G332" s="110"/>
      <c r="O332" s="115"/>
      <c r="P332" s="115"/>
      <c r="Q332" s="116"/>
      <c r="Z332" s="117"/>
      <c r="AA332" s="117"/>
      <c r="AB332" s="117"/>
      <c r="AC332" s="117"/>
      <c r="AK332" s="113"/>
      <c r="AL332" s="113"/>
      <c r="AM332" s="113"/>
      <c r="AN332" s="118"/>
      <c r="AO332" s="118"/>
      <c r="AP332" s="118"/>
      <c r="AQ332" s="118"/>
    </row>
    <row r="333" spans="2:43" ht="15.75" customHeight="1">
      <c r="B333" s="113"/>
      <c r="D333" s="110"/>
      <c r="E333" s="114"/>
      <c r="G333" s="110"/>
      <c r="O333" s="115"/>
      <c r="P333" s="115"/>
      <c r="Q333" s="116"/>
      <c r="Z333" s="117"/>
      <c r="AA333" s="117"/>
      <c r="AB333" s="117"/>
      <c r="AC333" s="117"/>
      <c r="AK333" s="113"/>
      <c r="AL333" s="113"/>
      <c r="AM333" s="113"/>
      <c r="AN333" s="118"/>
      <c r="AO333" s="118"/>
      <c r="AP333" s="118"/>
      <c r="AQ333" s="118"/>
    </row>
    <row r="334" spans="2:43" ht="15.75" customHeight="1">
      <c r="B334" s="113"/>
      <c r="D334" s="110"/>
      <c r="E334" s="114"/>
      <c r="G334" s="110"/>
      <c r="O334" s="115"/>
      <c r="P334" s="115"/>
      <c r="Q334" s="116"/>
      <c r="Z334" s="117"/>
      <c r="AA334" s="117"/>
      <c r="AB334" s="117"/>
      <c r="AC334" s="117"/>
      <c r="AK334" s="113"/>
      <c r="AL334" s="113"/>
      <c r="AM334" s="113"/>
      <c r="AN334" s="118"/>
      <c r="AO334" s="118"/>
      <c r="AP334" s="118"/>
      <c r="AQ334" s="118"/>
    </row>
    <row r="335" spans="2:43" ht="15.75" customHeight="1">
      <c r="B335" s="113"/>
      <c r="D335" s="110"/>
      <c r="E335" s="114"/>
      <c r="G335" s="110"/>
      <c r="O335" s="115"/>
      <c r="P335" s="115"/>
      <c r="Q335" s="116"/>
      <c r="Z335" s="117"/>
      <c r="AA335" s="117"/>
      <c r="AB335" s="117"/>
      <c r="AC335" s="117"/>
      <c r="AK335" s="113"/>
      <c r="AL335" s="113"/>
      <c r="AM335" s="113"/>
      <c r="AN335" s="118"/>
      <c r="AO335" s="118"/>
      <c r="AP335" s="118"/>
      <c r="AQ335" s="118"/>
    </row>
    <row r="336" spans="2:43" ht="15.75" customHeight="1">
      <c r="B336" s="113"/>
      <c r="D336" s="110"/>
      <c r="E336" s="114"/>
      <c r="G336" s="110"/>
      <c r="O336" s="115"/>
      <c r="P336" s="115"/>
      <c r="Q336" s="116"/>
      <c r="Z336" s="117"/>
      <c r="AA336" s="117"/>
      <c r="AB336" s="117"/>
      <c r="AC336" s="117"/>
      <c r="AK336" s="113"/>
      <c r="AL336" s="113"/>
      <c r="AM336" s="113"/>
      <c r="AN336" s="118"/>
      <c r="AO336" s="118"/>
      <c r="AP336" s="118"/>
      <c r="AQ336" s="118"/>
    </row>
    <row r="337" spans="2:43" ht="15.75" customHeight="1">
      <c r="B337" s="113"/>
      <c r="D337" s="110"/>
      <c r="E337" s="114"/>
      <c r="G337" s="110"/>
      <c r="O337" s="115"/>
      <c r="P337" s="115"/>
      <c r="Q337" s="116"/>
      <c r="Z337" s="117"/>
      <c r="AA337" s="117"/>
      <c r="AB337" s="117"/>
      <c r="AC337" s="117"/>
      <c r="AK337" s="113"/>
      <c r="AL337" s="113"/>
      <c r="AM337" s="113"/>
      <c r="AN337" s="118"/>
      <c r="AO337" s="118"/>
      <c r="AP337" s="118"/>
      <c r="AQ337" s="118"/>
    </row>
    <row r="338" spans="2:43" ht="15.75" customHeight="1">
      <c r="B338" s="113"/>
      <c r="D338" s="110"/>
      <c r="E338" s="114"/>
      <c r="G338" s="110"/>
      <c r="O338" s="115"/>
      <c r="P338" s="115"/>
      <c r="Q338" s="116"/>
      <c r="Z338" s="117"/>
      <c r="AA338" s="117"/>
      <c r="AB338" s="117"/>
      <c r="AC338" s="117"/>
      <c r="AK338" s="113"/>
      <c r="AL338" s="113"/>
      <c r="AM338" s="113"/>
      <c r="AN338" s="118"/>
      <c r="AO338" s="118"/>
      <c r="AP338" s="118"/>
      <c r="AQ338" s="118"/>
    </row>
    <row r="339" spans="2:43" ht="15.75" customHeight="1">
      <c r="B339" s="113"/>
      <c r="D339" s="110"/>
      <c r="E339" s="114"/>
      <c r="G339" s="110"/>
      <c r="O339" s="115"/>
      <c r="P339" s="115"/>
      <c r="Q339" s="116"/>
      <c r="Z339" s="117"/>
      <c r="AA339" s="117"/>
      <c r="AB339" s="117"/>
      <c r="AC339" s="117"/>
      <c r="AK339" s="113"/>
      <c r="AL339" s="113"/>
      <c r="AM339" s="113"/>
      <c r="AN339" s="118"/>
      <c r="AO339" s="118"/>
      <c r="AP339" s="118"/>
      <c r="AQ339" s="118"/>
    </row>
    <row r="340" spans="2:43" ht="15.75" customHeight="1">
      <c r="B340" s="113"/>
      <c r="D340" s="110"/>
      <c r="E340" s="114"/>
      <c r="G340" s="110"/>
      <c r="O340" s="115"/>
      <c r="P340" s="115"/>
      <c r="Q340" s="116"/>
      <c r="Z340" s="117"/>
      <c r="AA340" s="117"/>
      <c r="AB340" s="117"/>
      <c r="AC340" s="117"/>
      <c r="AK340" s="113"/>
      <c r="AL340" s="113"/>
      <c r="AM340" s="113"/>
      <c r="AN340" s="118"/>
      <c r="AO340" s="118"/>
      <c r="AP340" s="118"/>
      <c r="AQ340" s="118"/>
    </row>
    <row r="341" spans="2:43" ht="15.75" customHeight="1">
      <c r="B341" s="113"/>
      <c r="D341" s="110"/>
      <c r="E341" s="114"/>
      <c r="G341" s="110"/>
      <c r="O341" s="115"/>
      <c r="P341" s="115"/>
      <c r="Q341" s="116"/>
      <c r="Z341" s="117"/>
      <c r="AA341" s="117"/>
      <c r="AB341" s="117"/>
      <c r="AC341" s="117"/>
      <c r="AK341" s="113"/>
      <c r="AL341" s="113"/>
      <c r="AM341" s="113"/>
      <c r="AN341" s="118"/>
      <c r="AO341" s="118"/>
      <c r="AP341" s="118"/>
      <c r="AQ341" s="118"/>
    </row>
    <row r="342" spans="2:43" ht="15.75" customHeight="1">
      <c r="B342" s="113"/>
      <c r="D342" s="110"/>
      <c r="E342" s="114"/>
      <c r="G342" s="110"/>
      <c r="O342" s="115"/>
      <c r="P342" s="115"/>
      <c r="Q342" s="116"/>
      <c r="Z342" s="117"/>
      <c r="AA342" s="117"/>
      <c r="AB342" s="117"/>
      <c r="AC342" s="117"/>
      <c r="AK342" s="113"/>
      <c r="AL342" s="113"/>
      <c r="AM342" s="113"/>
      <c r="AN342" s="118"/>
      <c r="AO342" s="118"/>
      <c r="AP342" s="118"/>
      <c r="AQ342" s="118"/>
    </row>
    <row r="343" spans="2:43" ht="15.75" customHeight="1">
      <c r="B343" s="113"/>
      <c r="D343" s="110"/>
      <c r="E343" s="114"/>
      <c r="G343" s="110"/>
      <c r="O343" s="115"/>
      <c r="P343" s="115"/>
      <c r="Q343" s="116"/>
      <c r="Z343" s="117"/>
      <c r="AA343" s="117"/>
      <c r="AB343" s="117"/>
      <c r="AC343" s="117"/>
      <c r="AK343" s="113"/>
      <c r="AL343" s="113"/>
      <c r="AM343" s="113"/>
      <c r="AN343" s="118"/>
      <c r="AO343" s="118"/>
      <c r="AP343" s="118"/>
      <c r="AQ343" s="118"/>
    </row>
    <row r="344" spans="2:43" ht="15.75" customHeight="1">
      <c r="B344" s="113"/>
      <c r="E344" s="114"/>
      <c r="Q344" s="116"/>
      <c r="Z344" s="117"/>
      <c r="AA344" s="117"/>
      <c r="AB344" s="117"/>
      <c r="AC344" s="117"/>
      <c r="AK344" s="113"/>
      <c r="AL344" s="113"/>
      <c r="AM344" s="113"/>
      <c r="AN344" s="118"/>
      <c r="AO344" s="118"/>
      <c r="AP344" s="118"/>
      <c r="AQ344" s="118"/>
    </row>
    <row r="345" spans="2:43" ht="15.75" customHeight="1">
      <c r="B345" s="113"/>
      <c r="E345" s="114"/>
      <c r="Q345" s="116"/>
      <c r="Z345" s="117"/>
      <c r="AA345" s="117"/>
      <c r="AB345" s="117"/>
      <c r="AC345" s="117"/>
      <c r="AK345" s="113"/>
      <c r="AL345" s="113"/>
      <c r="AM345" s="113"/>
      <c r="AN345" s="118"/>
      <c r="AO345" s="118"/>
      <c r="AP345" s="118"/>
      <c r="AQ345" s="118"/>
    </row>
    <row r="346" spans="2:43" ht="15.75" customHeight="1">
      <c r="B346" s="113"/>
      <c r="E346" s="114"/>
      <c r="Q346" s="116"/>
      <c r="Z346" s="117"/>
      <c r="AA346" s="117"/>
      <c r="AB346" s="117"/>
      <c r="AC346" s="117"/>
      <c r="AK346" s="113"/>
      <c r="AL346" s="113"/>
      <c r="AM346" s="113"/>
      <c r="AN346" s="118"/>
      <c r="AO346" s="118"/>
      <c r="AP346" s="118"/>
      <c r="AQ346" s="118"/>
    </row>
    <row r="347" spans="2:43" ht="15.75" customHeight="1">
      <c r="B347" s="113"/>
      <c r="E347" s="114"/>
      <c r="Q347" s="116"/>
      <c r="Z347" s="117"/>
      <c r="AA347" s="117"/>
      <c r="AB347" s="117"/>
      <c r="AC347" s="117"/>
      <c r="AK347" s="113"/>
      <c r="AL347" s="113"/>
      <c r="AM347" s="113"/>
      <c r="AN347" s="118"/>
      <c r="AO347" s="118"/>
      <c r="AP347" s="118"/>
      <c r="AQ347" s="118"/>
    </row>
    <row r="348" spans="2:43" ht="15.75" customHeight="1">
      <c r="B348" s="113"/>
      <c r="E348" s="114"/>
      <c r="Q348" s="116"/>
      <c r="Z348" s="117"/>
      <c r="AA348" s="117"/>
      <c r="AB348" s="117"/>
      <c r="AC348" s="117"/>
      <c r="AK348" s="113"/>
      <c r="AL348" s="113"/>
      <c r="AM348" s="113"/>
      <c r="AN348" s="118"/>
      <c r="AO348" s="118"/>
      <c r="AP348" s="118"/>
      <c r="AQ348" s="118"/>
    </row>
    <row r="349" spans="2:43" ht="15.75" customHeight="1">
      <c r="B349" s="113"/>
      <c r="E349" s="114"/>
      <c r="Q349" s="116"/>
      <c r="Z349" s="117"/>
      <c r="AA349" s="117"/>
      <c r="AB349" s="117"/>
      <c r="AC349" s="117"/>
      <c r="AK349" s="113"/>
      <c r="AL349" s="113"/>
      <c r="AM349" s="113"/>
      <c r="AN349" s="118"/>
      <c r="AO349" s="118"/>
      <c r="AP349" s="118"/>
      <c r="AQ349" s="118"/>
    </row>
    <row r="350" spans="2:43" ht="15.75" customHeight="1">
      <c r="B350" s="113"/>
      <c r="E350" s="114"/>
      <c r="Q350" s="116"/>
      <c r="Z350" s="117"/>
      <c r="AA350" s="117"/>
      <c r="AB350" s="117"/>
      <c r="AC350" s="117"/>
      <c r="AK350" s="113"/>
      <c r="AL350" s="113"/>
      <c r="AM350" s="113"/>
      <c r="AN350" s="118"/>
      <c r="AO350" s="118"/>
      <c r="AP350" s="118"/>
      <c r="AQ350" s="118"/>
    </row>
    <row r="351" spans="2:43" ht="15.75" customHeight="1">
      <c r="B351" s="113"/>
      <c r="E351" s="114"/>
      <c r="Q351" s="116"/>
      <c r="Z351" s="117"/>
      <c r="AA351" s="117"/>
      <c r="AB351" s="117"/>
      <c r="AC351" s="117"/>
      <c r="AK351" s="113"/>
      <c r="AL351" s="113"/>
      <c r="AM351" s="113"/>
      <c r="AN351" s="118"/>
      <c r="AO351" s="118"/>
      <c r="AP351" s="118"/>
      <c r="AQ351" s="118"/>
    </row>
    <row r="352" spans="2:43" ht="15.75" customHeight="1">
      <c r="B352" s="113"/>
      <c r="E352" s="114"/>
      <c r="Q352" s="116"/>
      <c r="Z352" s="117"/>
      <c r="AA352" s="117"/>
      <c r="AB352" s="117"/>
      <c r="AC352" s="117"/>
      <c r="AK352" s="113"/>
      <c r="AL352" s="113"/>
      <c r="AM352" s="113"/>
      <c r="AN352" s="118"/>
      <c r="AO352" s="118"/>
      <c r="AP352" s="118"/>
      <c r="AQ352" s="118"/>
    </row>
    <row r="353" spans="2:43" ht="15.75" customHeight="1">
      <c r="B353" s="113"/>
      <c r="E353" s="114"/>
      <c r="Q353" s="116"/>
      <c r="Z353" s="117"/>
      <c r="AA353" s="117"/>
      <c r="AB353" s="117"/>
      <c r="AC353" s="117"/>
      <c r="AK353" s="113"/>
      <c r="AL353" s="113"/>
      <c r="AM353" s="113"/>
      <c r="AN353" s="118"/>
      <c r="AO353" s="118"/>
      <c r="AP353" s="118"/>
      <c r="AQ353" s="118"/>
    </row>
    <row r="354" spans="2:43" ht="15.75" customHeight="1">
      <c r="B354" s="113"/>
      <c r="E354" s="114"/>
      <c r="Q354" s="116"/>
      <c r="Z354" s="117"/>
      <c r="AA354" s="117"/>
      <c r="AB354" s="117"/>
      <c r="AC354" s="117"/>
      <c r="AK354" s="113"/>
      <c r="AL354" s="113"/>
      <c r="AM354" s="113"/>
      <c r="AN354" s="118"/>
      <c r="AO354" s="118"/>
      <c r="AP354" s="118"/>
      <c r="AQ354" s="118"/>
    </row>
    <row r="355" spans="2:43" ht="15.75" customHeight="1">
      <c r="B355" s="113"/>
      <c r="E355" s="114"/>
      <c r="Q355" s="116"/>
      <c r="Z355" s="117"/>
      <c r="AA355" s="117"/>
      <c r="AB355" s="117"/>
      <c r="AC355" s="117"/>
      <c r="AK355" s="113"/>
      <c r="AL355" s="113"/>
      <c r="AM355" s="113"/>
      <c r="AN355" s="118"/>
      <c r="AO355" s="118"/>
      <c r="AP355" s="118"/>
      <c r="AQ355" s="118"/>
    </row>
    <row r="356" spans="2:43" ht="15.75" customHeight="1">
      <c r="B356" s="113"/>
      <c r="E356" s="114"/>
      <c r="Q356" s="116"/>
      <c r="Z356" s="117"/>
      <c r="AA356" s="117"/>
      <c r="AB356" s="117"/>
      <c r="AC356" s="117"/>
      <c r="AK356" s="113"/>
      <c r="AL356" s="113"/>
      <c r="AM356" s="113"/>
      <c r="AN356" s="118"/>
      <c r="AO356" s="118"/>
      <c r="AP356" s="118"/>
      <c r="AQ356" s="118"/>
    </row>
    <row r="357" spans="2:43" ht="15.75" customHeight="1">
      <c r="B357" s="113"/>
      <c r="E357" s="114"/>
      <c r="Q357" s="116"/>
      <c r="Z357" s="117"/>
      <c r="AA357" s="117"/>
      <c r="AB357" s="117"/>
      <c r="AC357" s="117"/>
      <c r="AK357" s="113"/>
      <c r="AL357" s="113"/>
      <c r="AM357" s="113"/>
      <c r="AN357" s="118"/>
      <c r="AO357" s="118"/>
      <c r="AP357" s="118"/>
      <c r="AQ357" s="118"/>
    </row>
    <row r="358" spans="2:43" ht="15.75" customHeight="1">
      <c r="B358" s="113"/>
      <c r="E358" s="114"/>
      <c r="Q358" s="116"/>
      <c r="Z358" s="117"/>
      <c r="AA358" s="117"/>
      <c r="AB358" s="117"/>
      <c r="AC358" s="117"/>
      <c r="AK358" s="113"/>
      <c r="AL358" s="113"/>
      <c r="AM358" s="113"/>
      <c r="AN358" s="118"/>
      <c r="AO358" s="118"/>
      <c r="AP358" s="118"/>
      <c r="AQ358" s="118"/>
    </row>
    <row r="359" spans="2:43" ht="15.75" customHeight="1">
      <c r="B359" s="113"/>
      <c r="E359" s="114"/>
      <c r="Q359" s="116"/>
      <c r="Z359" s="117"/>
      <c r="AA359" s="117"/>
      <c r="AB359" s="117"/>
      <c r="AC359" s="117"/>
      <c r="AK359" s="113"/>
      <c r="AL359" s="113"/>
      <c r="AM359" s="113"/>
      <c r="AN359" s="118"/>
      <c r="AO359" s="118"/>
      <c r="AP359" s="118"/>
      <c r="AQ359" s="118"/>
    </row>
    <row r="360" spans="2:43" ht="15.75" customHeight="1">
      <c r="B360" s="113"/>
      <c r="E360" s="114"/>
      <c r="Q360" s="116"/>
      <c r="Z360" s="117"/>
      <c r="AA360" s="117"/>
      <c r="AB360" s="117"/>
      <c r="AC360" s="117"/>
      <c r="AK360" s="113"/>
      <c r="AL360" s="113"/>
      <c r="AM360" s="113"/>
      <c r="AN360" s="118"/>
      <c r="AO360" s="118"/>
      <c r="AP360" s="118"/>
      <c r="AQ360" s="118"/>
    </row>
    <row r="361" spans="2:43" ht="15.75" customHeight="1">
      <c r="B361" s="113"/>
      <c r="E361" s="114"/>
      <c r="Q361" s="116"/>
      <c r="Z361" s="117"/>
      <c r="AA361" s="117"/>
      <c r="AB361" s="117"/>
      <c r="AC361" s="117"/>
      <c r="AK361" s="113"/>
      <c r="AL361" s="113"/>
      <c r="AM361" s="113"/>
      <c r="AN361" s="118"/>
      <c r="AO361" s="118"/>
      <c r="AP361" s="118"/>
      <c r="AQ361" s="118"/>
    </row>
    <row r="362" spans="2:43" ht="15.75" customHeight="1">
      <c r="B362" s="113"/>
      <c r="E362" s="114"/>
      <c r="Q362" s="116"/>
      <c r="Z362" s="117"/>
      <c r="AA362" s="117"/>
      <c r="AB362" s="117"/>
      <c r="AC362" s="117"/>
      <c r="AK362" s="113"/>
      <c r="AL362" s="113"/>
      <c r="AM362" s="113"/>
      <c r="AN362" s="118"/>
      <c r="AO362" s="118"/>
      <c r="AP362" s="118"/>
      <c r="AQ362" s="118"/>
    </row>
    <row r="363" spans="2:43" ht="15.75" customHeight="1">
      <c r="B363" s="113"/>
      <c r="E363" s="114"/>
      <c r="Q363" s="116"/>
      <c r="Z363" s="117"/>
      <c r="AA363" s="117"/>
      <c r="AB363" s="117"/>
      <c r="AC363" s="117"/>
      <c r="AK363" s="113"/>
      <c r="AL363" s="113"/>
      <c r="AM363" s="113"/>
      <c r="AN363" s="118"/>
      <c r="AO363" s="118"/>
      <c r="AP363" s="118"/>
      <c r="AQ363" s="118"/>
    </row>
    <row r="364" spans="2:43" ht="15.75" customHeight="1">
      <c r="B364" s="113"/>
      <c r="E364" s="114"/>
      <c r="Q364" s="116"/>
      <c r="Z364" s="117"/>
      <c r="AA364" s="117"/>
      <c r="AB364" s="117"/>
      <c r="AC364" s="117"/>
      <c r="AK364" s="113"/>
      <c r="AL364" s="113"/>
      <c r="AM364" s="113"/>
      <c r="AN364" s="118"/>
      <c r="AO364" s="118"/>
      <c r="AP364" s="118"/>
      <c r="AQ364" s="118"/>
    </row>
    <row r="365" spans="2:43" ht="15.75" customHeight="1">
      <c r="B365" s="113"/>
      <c r="E365" s="114"/>
      <c r="Q365" s="116"/>
      <c r="Z365" s="117"/>
      <c r="AA365" s="117"/>
      <c r="AB365" s="117"/>
      <c r="AC365" s="117"/>
      <c r="AK365" s="113"/>
      <c r="AL365" s="113"/>
      <c r="AM365" s="113"/>
      <c r="AN365" s="118"/>
      <c r="AO365" s="118"/>
      <c r="AP365" s="118"/>
      <c r="AQ365" s="118"/>
    </row>
    <row r="366" spans="2:43" ht="15.75" customHeight="1">
      <c r="B366" s="113"/>
      <c r="E366" s="114"/>
      <c r="Q366" s="116"/>
      <c r="Z366" s="117"/>
      <c r="AA366" s="117"/>
      <c r="AB366" s="117"/>
      <c r="AC366" s="117"/>
      <c r="AK366" s="113"/>
      <c r="AL366" s="113"/>
      <c r="AM366" s="113"/>
      <c r="AN366" s="118"/>
      <c r="AO366" s="118"/>
      <c r="AP366" s="118"/>
      <c r="AQ366" s="118"/>
    </row>
    <row r="367" spans="2:43" ht="15.75" customHeight="1">
      <c r="B367" s="113"/>
      <c r="E367" s="114"/>
      <c r="Q367" s="116"/>
      <c r="Z367" s="117"/>
      <c r="AA367" s="117"/>
      <c r="AB367" s="117"/>
      <c r="AC367" s="117"/>
      <c r="AK367" s="113"/>
      <c r="AL367" s="113"/>
      <c r="AM367" s="113"/>
      <c r="AN367" s="118"/>
      <c r="AO367" s="118"/>
      <c r="AP367" s="118"/>
      <c r="AQ367" s="118"/>
    </row>
    <row r="368" spans="2:43" ht="15.75" customHeight="1">
      <c r="B368" s="113"/>
      <c r="E368" s="114"/>
      <c r="Q368" s="116"/>
      <c r="Z368" s="117"/>
      <c r="AA368" s="117"/>
      <c r="AB368" s="117"/>
      <c r="AC368" s="117"/>
      <c r="AK368" s="113"/>
      <c r="AL368" s="113"/>
      <c r="AM368" s="113"/>
      <c r="AN368" s="118"/>
      <c r="AO368" s="118"/>
      <c r="AP368" s="118"/>
      <c r="AQ368" s="118"/>
    </row>
    <row r="369" spans="2:43" ht="15.75" customHeight="1">
      <c r="B369" s="113"/>
      <c r="E369" s="114"/>
      <c r="Q369" s="116"/>
      <c r="Z369" s="117"/>
      <c r="AA369" s="117"/>
      <c r="AB369" s="117"/>
      <c r="AC369" s="117"/>
      <c r="AK369" s="113"/>
      <c r="AL369" s="113"/>
      <c r="AM369" s="113"/>
      <c r="AN369" s="118"/>
      <c r="AO369" s="118"/>
      <c r="AP369" s="118"/>
      <c r="AQ369" s="118"/>
    </row>
    <row r="370" spans="2:43" ht="15.75" customHeight="1">
      <c r="B370" s="113"/>
      <c r="E370" s="114"/>
      <c r="Q370" s="116"/>
      <c r="Z370" s="117"/>
      <c r="AA370" s="117"/>
      <c r="AB370" s="117"/>
      <c r="AC370" s="117"/>
      <c r="AK370" s="113"/>
      <c r="AL370" s="113"/>
      <c r="AM370" s="113"/>
      <c r="AN370" s="118"/>
      <c r="AO370" s="118"/>
      <c r="AP370" s="118"/>
      <c r="AQ370" s="118"/>
    </row>
    <row r="371" spans="2:43" ht="15.75" customHeight="1">
      <c r="B371" s="113"/>
      <c r="E371" s="114"/>
      <c r="Q371" s="116"/>
      <c r="Z371" s="117"/>
      <c r="AA371" s="117"/>
      <c r="AB371" s="117"/>
      <c r="AC371" s="117"/>
      <c r="AK371" s="113"/>
      <c r="AL371" s="113"/>
      <c r="AM371" s="113"/>
      <c r="AN371" s="118"/>
      <c r="AO371" s="118"/>
      <c r="AP371" s="118"/>
      <c r="AQ371" s="118"/>
    </row>
    <row r="372" spans="2:43" ht="15.75" customHeight="1">
      <c r="B372" s="113"/>
      <c r="E372" s="114"/>
      <c r="Q372" s="116"/>
      <c r="Z372" s="117"/>
      <c r="AA372" s="117"/>
      <c r="AB372" s="117"/>
      <c r="AC372" s="117"/>
      <c r="AK372" s="113"/>
      <c r="AL372" s="113"/>
      <c r="AM372" s="113"/>
      <c r="AN372" s="118"/>
      <c r="AO372" s="118"/>
      <c r="AP372" s="118"/>
      <c r="AQ372" s="118"/>
    </row>
    <row r="373" spans="2:43" ht="15.75" customHeight="1">
      <c r="B373" s="113"/>
      <c r="E373" s="114"/>
      <c r="Q373" s="116"/>
      <c r="Z373" s="117"/>
      <c r="AA373" s="117"/>
      <c r="AB373" s="117"/>
      <c r="AC373" s="117"/>
      <c r="AK373" s="113"/>
      <c r="AL373" s="113"/>
      <c r="AM373" s="113"/>
      <c r="AN373" s="118"/>
      <c r="AO373" s="118"/>
      <c r="AP373" s="118"/>
      <c r="AQ373" s="118"/>
    </row>
    <row r="374" spans="2:43" ht="15.75" customHeight="1">
      <c r="B374" s="113"/>
      <c r="E374" s="114"/>
      <c r="Q374" s="116"/>
      <c r="Z374" s="117"/>
      <c r="AA374" s="117"/>
      <c r="AB374" s="117"/>
      <c r="AC374" s="117"/>
      <c r="AK374" s="113"/>
      <c r="AL374" s="113"/>
      <c r="AM374" s="113"/>
      <c r="AN374" s="118"/>
      <c r="AO374" s="118"/>
      <c r="AP374" s="118"/>
      <c r="AQ374" s="118"/>
    </row>
    <row r="375" spans="2:43" ht="15.75" customHeight="1">
      <c r="B375" s="113"/>
      <c r="E375" s="114"/>
      <c r="Q375" s="116"/>
      <c r="Z375" s="117"/>
      <c r="AA375" s="117"/>
      <c r="AB375" s="117"/>
      <c r="AC375" s="117"/>
      <c r="AK375" s="113"/>
      <c r="AL375" s="113"/>
      <c r="AM375" s="113"/>
      <c r="AN375" s="118"/>
      <c r="AO375" s="118"/>
      <c r="AP375" s="118"/>
      <c r="AQ375" s="118"/>
    </row>
    <row r="376" spans="2:43" ht="15.75" customHeight="1">
      <c r="B376" s="113"/>
      <c r="E376" s="114"/>
      <c r="Q376" s="116"/>
      <c r="Z376" s="117"/>
      <c r="AA376" s="117"/>
      <c r="AB376" s="117"/>
      <c r="AC376" s="117"/>
      <c r="AK376" s="113"/>
      <c r="AL376" s="113"/>
      <c r="AM376" s="113"/>
      <c r="AN376" s="118"/>
      <c r="AO376" s="118"/>
      <c r="AP376" s="118"/>
      <c r="AQ376" s="118"/>
    </row>
    <row r="377" spans="2:43" ht="15.75" customHeight="1">
      <c r="B377" s="113"/>
      <c r="E377" s="114"/>
      <c r="Q377" s="116"/>
      <c r="Z377" s="117"/>
      <c r="AA377" s="117"/>
      <c r="AB377" s="117"/>
      <c r="AC377" s="117"/>
      <c r="AK377" s="113"/>
      <c r="AL377" s="113"/>
      <c r="AM377" s="113"/>
      <c r="AN377" s="118"/>
      <c r="AO377" s="118"/>
      <c r="AP377" s="118"/>
      <c r="AQ377" s="118"/>
    </row>
    <row r="378" spans="2:43" ht="15.75" customHeight="1">
      <c r="B378" s="113"/>
      <c r="E378" s="114"/>
      <c r="Q378" s="116"/>
      <c r="Z378" s="117"/>
      <c r="AA378" s="117"/>
      <c r="AB378" s="117"/>
      <c r="AC378" s="117"/>
      <c r="AK378" s="113"/>
      <c r="AL378" s="113"/>
      <c r="AM378" s="113"/>
      <c r="AN378" s="118"/>
      <c r="AO378" s="118"/>
      <c r="AP378" s="118"/>
      <c r="AQ378" s="118"/>
    </row>
    <row r="379" spans="2:43" ht="15.75" customHeight="1">
      <c r="B379" s="113"/>
      <c r="E379" s="114"/>
      <c r="Q379" s="116"/>
      <c r="Z379" s="117"/>
      <c r="AA379" s="117"/>
      <c r="AB379" s="117"/>
      <c r="AC379" s="117"/>
      <c r="AK379" s="113"/>
      <c r="AL379" s="113"/>
      <c r="AM379" s="113"/>
      <c r="AN379" s="118"/>
      <c r="AO379" s="118"/>
      <c r="AP379" s="118"/>
      <c r="AQ379" s="118"/>
    </row>
    <row r="380" spans="2:43" ht="15.75" customHeight="1">
      <c r="B380" s="113"/>
      <c r="E380" s="114"/>
      <c r="Q380" s="116"/>
      <c r="Z380" s="117"/>
      <c r="AA380" s="117"/>
      <c r="AB380" s="117"/>
      <c r="AC380" s="117"/>
      <c r="AK380" s="113"/>
      <c r="AL380" s="113"/>
      <c r="AM380" s="113"/>
      <c r="AN380" s="118"/>
      <c r="AO380" s="118"/>
      <c r="AP380" s="118"/>
      <c r="AQ380" s="118"/>
    </row>
    <row r="381" spans="2:43" ht="15.75" customHeight="1">
      <c r="B381" s="113"/>
      <c r="E381" s="114"/>
      <c r="Q381" s="116"/>
      <c r="Z381" s="117"/>
      <c r="AA381" s="117"/>
      <c r="AB381" s="117"/>
      <c r="AC381" s="117"/>
      <c r="AK381" s="113"/>
      <c r="AL381" s="113"/>
      <c r="AM381" s="113"/>
      <c r="AN381" s="118"/>
      <c r="AO381" s="118"/>
      <c r="AP381" s="118"/>
      <c r="AQ381" s="118"/>
    </row>
    <row r="382" spans="2:43" ht="15.75" customHeight="1">
      <c r="B382" s="113"/>
      <c r="E382" s="114"/>
      <c r="Q382" s="116"/>
      <c r="Z382" s="117"/>
      <c r="AA382" s="117"/>
      <c r="AB382" s="117"/>
      <c r="AC382" s="117"/>
      <c r="AK382" s="113"/>
      <c r="AL382" s="113"/>
      <c r="AM382" s="113"/>
      <c r="AN382" s="118"/>
      <c r="AO382" s="118"/>
      <c r="AP382" s="118"/>
      <c r="AQ382" s="118"/>
    </row>
    <row r="383" spans="2:43" ht="15.75" customHeight="1">
      <c r="B383" s="113"/>
      <c r="E383" s="114"/>
      <c r="Q383" s="116"/>
      <c r="Z383" s="117"/>
      <c r="AA383" s="117"/>
      <c r="AB383" s="117"/>
      <c r="AC383" s="117"/>
      <c r="AK383" s="113"/>
      <c r="AL383" s="113"/>
      <c r="AM383" s="113"/>
      <c r="AN383" s="118"/>
      <c r="AO383" s="118"/>
      <c r="AP383" s="118"/>
      <c r="AQ383" s="118"/>
    </row>
    <row r="384" spans="2:43" ht="15.75" customHeight="1">
      <c r="B384" s="113"/>
      <c r="E384" s="114"/>
      <c r="Q384" s="116"/>
      <c r="Z384" s="117"/>
      <c r="AA384" s="117"/>
      <c r="AB384" s="117"/>
      <c r="AC384" s="117"/>
      <c r="AK384" s="113"/>
      <c r="AL384" s="113"/>
      <c r="AM384" s="113"/>
      <c r="AN384" s="118"/>
      <c r="AO384" s="118"/>
      <c r="AP384" s="118"/>
      <c r="AQ384" s="118"/>
    </row>
    <row r="385" spans="2:43" ht="15.75" customHeight="1">
      <c r="B385" s="113"/>
      <c r="E385" s="114"/>
      <c r="Q385" s="116"/>
      <c r="Z385" s="117"/>
      <c r="AA385" s="117"/>
      <c r="AB385" s="117"/>
      <c r="AC385" s="117"/>
      <c r="AK385" s="113"/>
      <c r="AL385" s="113"/>
      <c r="AM385" s="113"/>
      <c r="AN385" s="118"/>
      <c r="AO385" s="118"/>
      <c r="AP385" s="118"/>
      <c r="AQ385" s="118"/>
    </row>
    <row r="386" spans="2:43" ht="15.75" customHeight="1">
      <c r="B386" s="113"/>
      <c r="E386" s="114"/>
      <c r="Q386" s="116"/>
      <c r="Z386" s="117"/>
      <c r="AA386" s="117"/>
      <c r="AB386" s="117"/>
      <c r="AC386" s="117"/>
      <c r="AK386" s="113"/>
      <c r="AL386" s="113"/>
      <c r="AM386" s="113"/>
      <c r="AN386" s="118"/>
      <c r="AO386" s="118"/>
      <c r="AP386" s="118"/>
      <c r="AQ386" s="118"/>
    </row>
    <row r="387" spans="2:43" ht="15.75" customHeight="1">
      <c r="B387" s="113"/>
      <c r="E387" s="114"/>
      <c r="Q387" s="116"/>
      <c r="Z387" s="117"/>
      <c r="AA387" s="117"/>
      <c r="AB387" s="117"/>
      <c r="AC387" s="117"/>
      <c r="AK387" s="113"/>
      <c r="AL387" s="113"/>
      <c r="AM387" s="113"/>
      <c r="AN387" s="118"/>
      <c r="AO387" s="118"/>
      <c r="AP387" s="118"/>
      <c r="AQ387" s="118"/>
    </row>
    <row r="388" spans="2:43" ht="15.75" customHeight="1">
      <c r="B388" s="113"/>
      <c r="E388" s="114"/>
      <c r="Q388" s="116"/>
      <c r="Z388" s="117"/>
      <c r="AA388" s="117"/>
      <c r="AB388" s="117"/>
      <c r="AC388" s="117"/>
      <c r="AK388" s="113"/>
      <c r="AL388" s="113"/>
      <c r="AM388" s="113"/>
      <c r="AN388" s="118"/>
      <c r="AO388" s="118"/>
      <c r="AP388" s="118"/>
      <c r="AQ388" s="118"/>
    </row>
    <row r="389" spans="2:43" ht="15.75" customHeight="1">
      <c r="B389" s="113"/>
      <c r="E389" s="114"/>
      <c r="Q389" s="116"/>
      <c r="Z389" s="117"/>
      <c r="AA389" s="117"/>
      <c r="AB389" s="117"/>
      <c r="AC389" s="117"/>
      <c r="AK389" s="113"/>
      <c r="AL389" s="113"/>
      <c r="AM389" s="113"/>
      <c r="AN389" s="118"/>
      <c r="AO389" s="118"/>
      <c r="AP389" s="118"/>
      <c r="AQ389" s="118"/>
    </row>
    <row r="390" spans="2:43" ht="15.75" customHeight="1">
      <c r="B390" s="113"/>
      <c r="E390" s="114"/>
      <c r="Q390" s="116"/>
      <c r="Z390" s="117"/>
      <c r="AA390" s="117"/>
      <c r="AB390" s="117"/>
      <c r="AC390" s="117"/>
      <c r="AK390" s="113"/>
      <c r="AL390" s="113"/>
      <c r="AM390" s="113"/>
      <c r="AN390" s="118"/>
      <c r="AO390" s="118"/>
      <c r="AP390" s="118"/>
      <c r="AQ390" s="118"/>
    </row>
    <row r="391" spans="2:43" ht="15.75" customHeight="1">
      <c r="B391" s="113"/>
      <c r="E391" s="114"/>
      <c r="Q391" s="116"/>
      <c r="Z391" s="117"/>
      <c r="AA391" s="117"/>
      <c r="AB391" s="117"/>
      <c r="AC391" s="117"/>
      <c r="AK391" s="113"/>
      <c r="AL391" s="113"/>
      <c r="AM391" s="113"/>
      <c r="AN391" s="118"/>
      <c r="AO391" s="118"/>
      <c r="AP391" s="118"/>
      <c r="AQ391" s="118"/>
    </row>
    <row r="392" spans="2:43" ht="15.75" customHeight="1">
      <c r="B392" s="113"/>
      <c r="E392" s="114"/>
      <c r="Q392" s="116"/>
      <c r="Z392" s="117"/>
      <c r="AA392" s="117"/>
      <c r="AB392" s="117"/>
      <c r="AC392" s="117"/>
      <c r="AK392" s="113"/>
      <c r="AL392" s="113"/>
      <c r="AM392" s="113"/>
      <c r="AN392" s="118"/>
      <c r="AO392" s="118"/>
      <c r="AP392" s="118"/>
      <c r="AQ392" s="118"/>
    </row>
    <row r="393" spans="2:43" ht="15.75" customHeight="1">
      <c r="B393" s="113"/>
      <c r="E393" s="114"/>
      <c r="Q393" s="116"/>
      <c r="Z393" s="117"/>
      <c r="AA393" s="117"/>
      <c r="AB393" s="117"/>
      <c r="AC393" s="117"/>
      <c r="AK393" s="113"/>
      <c r="AL393" s="113"/>
      <c r="AM393" s="113"/>
      <c r="AN393" s="118"/>
      <c r="AO393" s="118"/>
      <c r="AP393" s="118"/>
      <c r="AQ393" s="118"/>
    </row>
    <row r="394" spans="2:43" ht="15.75" customHeight="1">
      <c r="B394" s="113"/>
      <c r="E394" s="114"/>
      <c r="Q394" s="116"/>
      <c r="Z394" s="117"/>
      <c r="AA394" s="117"/>
      <c r="AB394" s="117"/>
      <c r="AC394" s="117"/>
      <c r="AK394" s="113"/>
      <c r="AL394" s="113"/>
      <c r="AM394" s="113"/>
      <c r="AN394" s="118"/>
      <c r="AO394" s="118"/>
      <c r="AP394" s="118"/>
      <c r="AQ394" s="118"/>
    </row>
    <row r="395" spans="2:43" ht="15.75" customHeight="1">
      <c r="B395" s="113"/>
      <c r="E395" s="114"/>
      <c r="Q395" s="116"/>
      <c r="Z395" s="117"/>
      <c r="AA395" s="117"/>
      <c r="AB395" s="117"/>
      <c r="AC395" s="117"/>
      <c r="AK395" s="113"/>
      <c r="AL395" s="113"/>
      <c r="AM395" s="113"/>
      <c r="AN395" s="118"/>
      <c r="AO395" s="118"/>
      <c r="AP395" s="118"/>
      <c r="AQ395" s="118"/>
    </row>
    <row r="396" spans="2:43" ht="15.75" customHeight="1">
      <c r="B396" s="113"/>
      <c r="E396" s="114"/>
      <c r="Q396" s="116"/>
      <c r="Z396" s="117"/>
      <c r="AA396" s="117"/>
      <c r="AB396" s="117"/>
      <c r="AC396" s="117"/>
      <c r="AK396" s="113"/>
      <c r="AL396" s="113"/>
      <c r="AM396" s="113"/>
      <c r="AN396" s="118"/>
      <c r="AO396" s="118"/>
      <c r="AP396" s="118"/>
      <c r="AQ396" s="118"/>
    </row>
    <row r="397" spans="2:43" ht="15.75" customHeight="1">
      <c r="B397" s="113"/>
      <c r="E397" s="114"/>
      <c r="Q397" s="116"/>
      <c r="Z397" s="117"/>
      <c r="AA397" s="117"/>
      <c r="AB397" s="117"/>
      <c r="AC397" s="117"/>
      <c r="AK397" s="113"/>
      <c r="AL397" s="113"/>
      <c r="AM397" s="113"/>
      <c r="AN397" s="118"/>
      <c r="AO397" s="118"/>
      <c r="AP397" s="118"/>
      <c r="AQ397" s="118"/>
    </row>
    <row r="398" spans="2:43" ht="15.75" customHeight="1">
      <c r="B398" s="113"/>
      <c r="E398" s="114"/>
      <c r="Q398" s="116"/>
      <c r="Z398" s="117"/>
      <c r="AA398" s="117"/>
      <c r="AB398" s="117"/>
      <c r="AC398" s="117"/>
      <c r="AK398" s="113"/>
      <c r="AL398" s="113"/>
      <c r="AM398" s="113"/>
      <c r="AN398" s="118"/>
      <c r="AO398" s="118"/>
      <c r="AP398" s="118"/>
      <c r="AQ398" s="118"/>
    </row>
    <row r="399" spans="2:43" ht="15.75" customHeight="1">
      <c r="B399" s="113"/>
      <c r="E399" s="114"/>
      <c r="Q399" s="116"/>
      <c r="Z399" s="117"/>
      <c r="AA399" s="117"/>
      <c r="AB399" s="117"/>
      <c r="AC399" s="117"/>
      <c r="AK399" s="113"/>
      <c r="AL399" s="113"/>
      <c r="AM399" s="113"/>
      <c r="AN399" s="118"/>
      <c r="AO399" s="118"/>
      <c r="AP399" s="118"/>
      <c r="AQ399" s="118"/>
    </row>
    <row r="400" spans="2:43" ht="15.75" customHeight="1">
      <c r="B400" s="113"/>
      <c r="E400" s="114"/>
      <c r="Q400" s="116"/>
      <c r="Z400" s="117"/>
      <c r="AA400" s="117"/>
      <c r="AB400" s="117"/>
      <c r="AC400" s="117"/>
      <c r="AK400" s="113"/>
      <c r="AL400" s="113"/>
      <c r="AM400" s="113"/>
      <c r="AN400" s="118"/>
      <c r="AO400" s="118"/>
      <c r="AP400" s="118"/>
      <c r="AQ400" s="118"/>
    </row>
    <row r="401" spans="2:43" ht="15.75" customHeight="1">
      <c r="B401" s="113"/>
      <c r="E401" s="114"/>
      <c r="Q401" s="116"/>
      <c r="Z401" s="117"/>
      <c r="AA401" s="117"/>
      <c r="AB401" s="117"/>
      <c r="AC401" s="117"/>
      <c r="AK401" s="113"/>
      <c r="AL401" s="113"/>
      <c r="AM401" s="113"/>
      <c r="AN401" s="118"/>
      <c r="AO401" s="118"/>
      <c r="AP401" s="118"/>
      <c r="AQ401" s="118"/>
    </row>
    <row r="402" spans="2:43" ht="15.75" customHeight="1">
      <c r="B402" s="113"/>
      <c r="E402" s="114"/>
      <c r="Q402" s="116"/>
      <c r="Z402" s="117"/>
      <c r="AA402" s="117"/>
      <c r="AB402" s="117"/>
      <c r="AC402" s="117"/>
      <c r="AK402" s="113"/>
      <c r="AL402" s="113"/>
      <c r="AM402" s="113"/>
      <c r="AN402" s="118"/>
      <c r="AO402" s="118"/>
      <c r="AP402" s="118"/>
      <c r="AQ402" s="118"/>
    </row>
    <row r="403" spans="2:43" ht="15.75" customHeight="1">
      <c r="B403" s="113"/>
      <c r="E403" s="114"/>
      <c r="Q403" s="116"/>
      <c r="Z403" s="117"/>
      <c r="AA403" s="117"/>
      <c r="AB403" s="117"/>
      <c r="AC403" s="117"/>
      <c r="AK403" s="113"/>
      <c r="AL403" s="113"/>
      <c r="AM403" s="113"/>
      <c r="AN403" s="118"/>
      <c r="AO403" s="118"/>
      <c r="AP403" s="118"/>
      <c r="AQ403" s="118"/>
    </row>
    <row r="404" spans="2:43" ht="15.75" customHeight="1">
      <c r="B404" s="113"/>
      <c r="E404" s="114"/>
      <c r="Q404" s="116"/>
      <c r="Z404" s="117"/>
      <c r="AA404" s="117"/>
      <c r="AB404" s="117"/>
      <c r="AC404" s="117"/>
      <c r="AK404" s="113"/>
      <c r="AL404" s="113"/>
      <c r="AM404" s="113"/>
      <c r="AN404" s="118"/>
      <c r="AO404" s="118"/>
      <c r="AP404" s="118"/>
      <c r="AQ404" s="118"/>
    </row>
    <row r="405" spans="2:43" ht="15.75" customHeight="1">
      <c r="B405" s="113"/>
      <c r="E405" s="114"/>
      <c r="Q405" s="116"/>
      <c r="Z405" s="117"/>
      <c r="AA405" s="117"/>
      <c r="AB405" s="117"/>
      <c r="AC405" s="117"/>
      <c r="AK405" s="113"/>
      <c r="AL405" s="113"/>
      <c r="AM405" s="113"/>
      <c r="AN405" s="118"/>
      <c r="AO405" s="118"/>
      <c r="AP405" s="118"/>
      <c r="AQ405" s="118"/>
    </row>
    <row r="406" spans="2:43" ht="15.75" customHeight="1">
      <c r="B406" s="113"/>
      <c r="E406" s="114"/>
      <c r="Q406" s="116"/>
      <c r="Z406" s="117"/>
      <c r="AA406" s="117"/>
      <c r="AB406" s="117"/>
      <c r="AC406" s="117"/>
      <c r="AK406" s="113"/>
      <c r="AL406" s="113"/>
      <c r="AM406" s="113"/>
      <c r="AN406" s="118"/>
      <c r="AO406" s="118"/>
      <c r="AP406" s="118"/>
      <c r="AQ406" s="118"/>
    </row>
    <row r="407" spans="2:43" ht="15.75" customHeight="1">
      <c r="B407" s="113"/>
      <c r="E407" s="114"/>
      <c r="Q407" s="116"/>
      <c r="Z407" s="117"/>
      <c r="AA407" s="117"/>
      <c r="AB407" s="117"/>
      <c r="AC407" s="117"/>
      <c r="AK407" s="113"/>
      <c r="AL407" s="113"/>
      <c r="AM407" s="113"/>
      <c r="AN407" s="118"/>
      <c r="AO407" s="118"/>
      <c r="AP407" s="118"/>
      <c r="AQ407" s="118"/>
    </row>
    <row r="408" spans="2:43" ht="15.75" customHeight="1">
      <c r="B408" s="113"/>
      <c r="E408" s="114"/>
      <c r="Q408" s="116"/>
      <c r="Z408" s="117"/>
      <c r="AA408" s="117"/>
      <c r="AB408" s="117"/>
      <c r="AC408" s="117"/>
      <c r="AK408" s="113"/>
      <c r="AL408" s="113"/>
      <c r="AM408" s="113"/>
      <c r="AN408" s="118"/>
      <c r="AO408" s="118"/>
      <c r="AP408" s="118"/>
      <c r="AQ408" s="118"/>
    </row>
    <row r="409" spans="2:43" ht="15.75" customHeight="1">
      <c r="B409" s="113"/>
      <c r="E409" s="114"/>
      <c r="Q409" s="116"/>
      <c r="Z409" s="117"/>
      <c r="AA409" s="117"/>
      <c r="AB409" s="117"/>
      <c r="AC409" s="117"/>
      <c r="AK409" s="113"/>
      <c r="AL409" s="113"/>
      <c r="AM409" s="113"/>
      <c r="AN409" s="118"/>
      <c r="AO409" s="118"/>
      <c r="AP409" s="118"/>
      <c r="AQ409" s="118"/>
    </row>
    <row r="410" spans="2:43" ht="15.75" customHeight="1">
      <c r="B410" s="113"/>
      <c r="E410" s="114"/>
      <c r="Q410" s="116"/>
      <c r="Z410" s="117"/>
      <c r="AA410" s="117"/>
      <c r="AB410" s="117"/>
      <c r="AC410" s="117"/>
      <c r="AK410" s="113"/>
      <c r="AL410" s="113"/>
      <c r="AM410" s="113"/>
      <c r="AN410" s="118"/>
      <c r="AO410" s="118"/>
      <c r="AP410" s="118"/>
      <c r="AQ410" s="118"/>
    </row>
    <row r="411" spans="2:43" ht="15.75" customHeight="1">
      <c r="B411" s="113"/>
      <c r="E411" s="114"/>
      <c r="Q411" s="116"/>
      <c r="Z411" s="117"/>
      <c r="AA411" s="117"/>
      <c r="AB411" s="117"/>
      <c r="AC411" s="117"/>
      <c r="AK411" s="113"/>
      <c r="AL411" s="113"/>
      <c r="AM411" s="113"/>
      <c r="AN411" s="118"/>
      <c r="AO411" s="118"/>
      <c r="AP411" s="118"/>
      <c r="AQ411" s="118"/>
    </row>
    <row r="412" spans="2:43" ht="15.75" customHeight="1">
      <c r="B412" s="113"/>
      <c r="E412" s="114"/>
      <c r="Q412" s="116"/>
      <c r="Z412" s="117"/>
      <c r="AA412" s="117"/>
      <c r="AB412" s="117"/>
      <c r="AC412" s="117"/>
      <c r="AK412" s="113"/>
      <c r="AL412" s="113"/>
      <c r="AM412" s="113"/>
      <c r="AN412" s="118"/>
      <c r="AO412" s="118"/>
      <c r="AP412" s="118"/>
      <c r="AQ412" s="118"/>
    </row>
    <row r="413" spans="2:43" ht="15.75" customHeight="1">
      <c r="B413" s="113"/>
      <c r="E413" s="114"/>
      <c r="Q413" s="116"/>
      <c r="Z413" s="117"/>
      <c r="AA413" s="117"/>
      <c r="AB413" s="117"/>
      <c r="AC413" s="117"/>
      <c r="AK413" s="113"/>
      <c r="AL413" s="113"/>
      <c r="AM413" s="113"/>
      <c r="AN413" s="118"/>
      <c r="AO413" s="118"/>
      <c r="AP413" s="118"/>
      <c r="AQ413" s="118"/>
    </row>
    <row r="414" spans="2:43" ht="15.75" customHeight="1">
      <c r="B414" s="113"/>
      <c r="E414" s="114"/>
      <c r="Q414" s="116"/>
      <c r="Z414" s="117"/>
      <c r="AA414" s="117"/>
      <c r="AB414" s="117"/>
      <c r="AC414" s="117"/>
      <c r="AK414" s="113"/>
      <c r="AL414" s="113"/>
      <c r="AM414" s="113"/>
      <c r="AN414" s="118"/>
      <c r="AO414" s="118"/>
      <c r="AP414" s="118"/>
      <c r="AQ414" s="118"/>
    </row>
    <row r="415" spans="2:43" ht="15.75" customHeight="1">
      <c r="B415" s="113"/>
      <c r="E415" s="114"/>
      <c r="Q415" s="116"/>
      <c r="Z415" s="117"/>
      <c r="AA415" s="117"/>
      <c r="AB415" s="117"/>
      <c r="AC415" s="117"/>
      <c r="AK415" s="113"/>
      <c r="AL415" s="113"/>
      <c r="AM415" s="113"/>
      <c r="AN415" s="118"/>
      <c r="AO415" s="118"/>
      <c r="AP415" s="118"/>
      <c r="AQ415" s="118"/>
    </row>
    <row r="416" spans="2:43" ht="15.75" customHeight="1">
      <c r="B416" s="113"/>
      <c r="E416" s="114"/>
      <c r="Q416" s="116"/>
      <c r="Z416" s="117"/>
      <c r="AA416" s="117"/>
      <c r="AB416" s="117"/>
      <c r="AC416" s="117"/>
      <c r="AK416" s="113"/>
      <c r="AL416" s="113"/>
      <c r="AM416" s="113"/>
      <c r="AN416" s="118"/>
      <c r="AO416" s="118"/>
      <c r="AP416" s="118"/>
      <c r="AQ416" s="118"/>
    </row>
    <row r="417" spans="2:43" ht="15.75" customHeight="1">
      <c r="B417" s="113"/>
      <c r="E417" s="114"/>
      <c r="Q417" s="116"/>
      <c r="Z417" s="117"/>
      <c r="AA417" s="117"/>
      <c r="AB417" s="117"/>
      <c r="AC417" s="117"/>
      <c r="AK417" s="113"/>
      <c r="AL417" s="113"/>
      <c r="AM417" s="113"/>
      <c r="AN417" s="118"/>
      <c r="AO417" s="118"/>
      <c r="AP417" s="118"/>
      <c r="AQ417" s="118"/>
    </row>
    <row r="418" spans="2:43" ht="15.75" customHeight="1">
      <c r="B418" s="113"/>
      <c r="E418" s="114"/>
      <c r="Q418" s="116"/>
      <c r="Z418" s="117"/>
      <c r="AA418" s="117"/>
      <c r="AB418" s="117"/>
      <c r="AC418" s="117"/>
      <c r="AK418" s="113"/>
      <c r="AL418" s="113"/>
      <c r="AM418" s="113"/>
      <c r="AN418" s="118"/>
      <c r="AO418" s="118"/>
      <c r="AP418" s="118"/>
      <c r="AQ418" s="118"/>
    </row>
    <row r="419" spans="2:43" ht="15.75" customHeight="1">
      <c r="B419" s="113"/>
      <c r="E419" s="114"/>
      <c r="Q419" s="116"/>
      <c r="Z419" s="117"/>
      <c r="AA419" s="117"/>
      <c r="AB419" s="117"/>
      <c r="AC419" s="117"/>
      <c r="AK419" s="113"/>
      <c r="AL419" s="113"/>
      <c r="AM419" s="113"/>
      <c r="AN419" s="118"/>
      <c r="AO419" s="118"/>
      <c r="AP419" s="118"/>
      <c r="AQ419" s="118"/>
    </row>
    <row r="420" spans="2:43" ht="15.75" customHeight="1">
      <c r="B420" s="113"/>
      <c r="E420" s="114"/>
      <c r="Q420" s="116"/>
      <c r="Z420" s="117"/>
      <c r="AA420" s="117"/>
      <c r="AB420" s="117"/>
      <c r="AC420" s="117"/>
      <c r="AK420" s="113"/>
      <c r="AL420" s="113"/>
      <c r="AM420" s="113"/>
      <c r="AN420" s="118"/>
      <c r="AO420" s="118"/>
      <c r="AP420" s="118"/>
      <c r="AQ420" s="118"/>
    </row>
    <row r="421" spans="2:43" ht="15.75" customHeight="1">
      <c r="B421" s="113"/>
      <c r="E421" s="114"/>
      <c r="Q421" s="116"/>
      <c r="Z421" s="117"/>
      <c r="AA421" s="117"/>
      <c r="AB421" s="117"/>
      <c r="AC421" s="117"/>
      <c r="AK421" s="113"/>
      <c r="AL421" s="113"/>
      <c r="AM421" s="113"/>
      <c r="AN421" s="118"/>
      <c r="AO421" s="118"/>
      <c r="AP421" s="118"/>
      <c r="AQ421" s="118"/>
    </row>
    <row r="422" spans="2:43" ht="15.75" customHeight="1">
      <c r="B422" s="113"/>
      <c r="E422" s="114"/>
      <c r="Q422" s="116"/>
      <c r="Z422" s="117"/>
      <c r="AA422" s="117"/>
      <c r="AB422" s="117"/>
      <c r="AC422" s="117"/>
      <c r="AK422" s="113"/>
      <c r="AL422" s="113"/>
      <c r="AM422" s="113"/>
      <c r="AN422" s="118"/>
      <c r="AO422" s="118"/>
      <c r="AP422" s="118"/>
      <c r="AQ422" s="118"/>
    </row>
    <row r="423" spans="2:43" ht="15.75" customHeight="1">
      <c r="B423" s="113"/>
      <c r="E423" s="114"/>
      <c r="Q423" s="116"/>
      <c r="Z423" s="117"/>
      <c r="AA423" s="117"/>
      <c r="AB423" s="117"/>
      <c r="AC423" s="117"/>
      <c r="AK423" s="113"/>
      <c r="AL423" s="113"/>
      <c r="AM423" s="113"/>
      <c r="AN423" s="118"/>
      <c r="AO423" s="118"/>
      <c r="AP423" s="118"/>
      <c r="AQ423" s="118"/>
    </row>
    <row r="424" spans="2:43" ht="15.75" customHeight="1">
      <c r="B424" s="113"/>
      <c r="E424" s="114"/>
      <c r="Q424" s="116"/>
      <c r="Z424" s="117"/>
      <c r="AA424" s="117"/>
      <c r="AB424" s="117"/>
      <c r="AC424" s="117"/>
      <c r="AK424" s="113"/>
      <c r="AL424" s="113"/>
      <c r="AM424" s="113"/>
      <c r="AN424" s="118"/>
      <c r="AO424" s="118"/>
      <c r="AP424" s="118"/>
      <c r="AQ424" s="118"/>
    </row>
    <row r="425" spans="2:43" ht="15.75" customHeight="1">
      <c r="B425" s="113"/>
      <c r="E425" s="114"/>
      <c r="Q425" s="116"/>
      <c r="Z425" s="117"/>
      <c r="AA425" s="117"/>
      <c r="AB425" s="117"/>
      <c r="AC425" s="117"/>
      <c r="AK425" s="113"/>
      <c r="AL425" s="113"/>
      <c r="AM425" s="113"/>
      <c r="AN425" s="118"/>
      <c r="AO425" s="118"/>
      <c r="AP425" s="118"/>
      <c r="AQ425" s="118"/>
    </row>
    <row r="426" spans="2:43" ht="15.75" customHeight="1">
      <c r="B426" s="113"/>
      <c r="E426" s="114"/>
      <c r="Q426" s="116"/>
      <c r="Z426" s="117"/>
      <c r="AA426" s="117"/>
      <c r="AB426" s="117"/>
      <c r="AC426" s="117"/>
      <c r="AK426" s="113"/>
      <c r="AL426" s="113"/>
      <c r="AM426" s="113"/>
      <c r="AN426" s="118"/>
      <c r="AO426" s="118"/>
      <c r="AP426" s="118"/>
      <c r="AQ426" s="118"/>
    </row>
    <row r="427" spans="2:43" ht="15.75" customHeight="1">
      <c r="B427" s="113"/>
      <c r="E427" s="114"/>
      <c r="Q427" s="116"/>
      <c r="Z427" s="117"/>
      <c r="AA427" s="117"/>
      <c r="AB427" s="117"/>
      <c r="AC427" s="117"/>
      <c r="AK427" s="113"/>
      <c r="AL427" s="113"/>
      <c r="AM427" s="113"/>
      <c r="AN427" s="118"/>
      <c r="AO427" s="118"/>
      <c r="AP427" s="118"/>
      <c r="AQ427" s="118"/>
    </row>
    <row r="428" spans="2:43" ht="15.75" customHeight="1">
      <c r="B428" s="113"/>
      <c r="E428" s="114"/>
      <c r="Q428" s="116"/>
      <c r="Z428" s="117"/>
      <c r="AA428" s="117"/>
      <c r="AB428" s="117"/>
      <c r="AC428" s="117"/>
      <c r="AK428" s="113"/>
      <c r="AL428" s="113"/>
      <c r="AM428" s="113"/>
      <c r="AN428" s="118"/>
      <c r="AO428" s="118"/>
      <c r="AP428" s="118"/>
      <c r="AQ428" s="118"/>
    </row>
    <row r="429" spans="2:43" ht="15.75" customHeight="1">
      <c r="B429" s="113"/>
      <c r="E429" s="114"/>
      <c r="Q429" s="116"/>
      <c r="Z429" s="117"/>
      <c r="AA429" s="117"/>
      <c r="AB429" s="117"/>
      <c r="AC429" s="117"/>
      <c r="AK429" s="113"/>
      <c r="AL429" s="113"/>
      <c r="AM429" s="113"/>
      <c r="AN429" s="118"/>
      <c r="AO429" s="118"/>
      <c r="AP429" s="118"/>
      <c r="AQ429" s="118"/>
    </row>
    <row r="430" spans="2:43" ht="15.75" customHeight="1">
      <c r="B430" s="113"/>
      <c r="E430" s="114"/>
      <c r="Q430" s="116"/>
      <c r="Z430" s="117"/>
      <c r="AA430" s="117"/>
      <c r="AB430" s="117"/>
      <c r="AC430" s="117"/>
      <c r="AK430" s="113"/>
      <c r="AL430" s="113"/>
      <c r="AM430" s="113"/>
      <c r="AN430" s="118"/>
      <c r="AO430" s="118"/>
      <c r="AP430" s="118"/>
      <c r="AQ430" s="118"/>
    </row>
    <row r="431" spans="2:43" ht="15.75" customHeight="1">
      <c r="B431" s="113"/>
      <c r="E431" s="114"/>
      <c r="Q431" s="116"/>
      <c r="Z431" s="117"/>
      <c r="AA431" s="117"/>
      <c r="AB431" s="117"/>
      <c r="AC431" s="117"/>
      <c r="AK431" s="113"/>
      <c r="AL431" s="113"/>
      <c r="AM431" s="113"/>
      <c r="AN431" s="118"/>
      <c r="AO431" s="118"/>
      <c r="AP431" s="118"/>
      <c r="AQ431" s="118"/>
    </row>
    <row r="432" spans="2:43" ht="15.75" customHeight="1">
      <c r="B432" s="113"/>
      <c r="E432" s="114"/>
      <c r="Q432" s="116"/>
      <c r="Z432" s="117"/>
      <c r="AA432" s="117"/>
      <c r="AB432" s="117"/>
      <c r="AC432" s="117"/>
      <c r="AK432" s="113"/>
      <c r="AL432" s="113"/>
      <c r="AM432" s="113"/>
      <c r="AN432" s="118"/>
      <c r="AO432" s="118"/>
      <c r="AP432" s="118"/>
      <c r="AQ432" s="118"/>
    </row>
    <row r="433" spans="2:43" ht="15.75" customHeight="1">
      <c r="B433" s="113"/>
      <c r="E433" s="114"/>
      <c r="Q433" s="116"/>
      <c r="Z433" s="117"/>
      <c r="AA433" s="117"/>
      <c r="AB433" s="117"/>
      <c r="AC433" s="117"/>
      <c r="AK433" s="113"/>
      <c r="AL433" s="113"/>
      <c r="AM433" s="113"/>
      <c r="AN433" s="118"/>
      <c r="AO433" s="118"/>
      <c r="AP433" s="118"/>
      <c r="AQ433" s="118"/>
    </row>
    <row r="434" spans="2:43" ht="15.75" customHeight="1">
      <c r="B434" s="113"/>
      <c r="E434" s="114"/>
      <c r="Q434" s="116"/>
      <c r="Z434" s="117"/>
      <c r="AA434" s="117"/>
      <c r="AB434" s="117"/>
      <c r="AC434" s="117"/>
      <c r="AK434" s="113"/>
      <c r="AL434" s="113"/>
      <c r="AM434" s="113"/>
      <c r="AN434" s="118"/>
      <c r="AO434" s="118"/>
      <c r="AP434" s="118"/>
      <c r="AQ434" s="118"/>
    </row>
    <row r="435" spans="2:43" ht="15.75" customHeight="1">
      <c r="B435" s="113"/>
      <c r="E435" s="114"/>
      <c r="Q435" s="116"/>
      <c r="Z435" s="117"/>
      <c r="AA435" s="117"/>
      <c r="AB435" s="117"/>
      <c r="AC435" s="117"/>
      <c r="AK435" s="113"/>
      <c r="AL435" s="113"/>
      <c r="AM435" s="113"/>
      <c r="AN435" s="118"/>
      <c r="AO435" s="118"/>
      <c r="AP435" s="118"/>
      <c r="AQ435" s="118"/>
    </row>
    <row r="436" spans="2:43" ht="15.75" customHeight="1">
      <c r="B436" s="113"/>
      <c r="E436" s="114"/>
      <c r="Q436" s="116"/>
      <c r="Z436" s="117"/>
      <c r="AA436" s="117"/>
      <c r="AB436" s="117"/>
      <c r="AC436" s="117"/>
      <c r="AK436" s="113"/>
      <c r="AL436" s="113"/>
      <c r="AM436" s="113"/>
      <c r="AN436" s="118"/>
      <c r="AO436" s="118"/>
      <c r="AP436" s="118"/>
      <c r="AQ436" s="118"/>
    </row>
    <row r="437" spans="2:43" ht="15.75" customHeight="1">
      <c r="B437" s="113"/>
      <c r="E437" s="114"/>
      <c r="Q437" s="116"/>
      <c r="Z437" s="117"/>
      <c r="AA437" s="117"/>
      <c r="AB437" s="117"/>
      <c r="AC437" s="117"/>
      <c r="AK437" s="113"/>
      <c r="AL437" s="113"/>
      <c r="AM437" s="113"/>
      <c r="AN437" s="118"/>
      <c r="AO437" s="118"/>
      <c r="AP437" s="118"/>
      <c r="AQ437" s="118"/>
    </row>
    <row r="438" spans="2:43" ht="15.75" customHeight="1">
      <c r="B438" s="113"/>
      <c r="E438" s="114"/>
      <c r="Q438" s="116"/>
      <c r="Z438" s="117"/>
      <c r="AA438" s="117"/>
      <c r="AB438" s="117"/>
      <c r="AC438" s="117"/>
      <c r="AK438" s="113"/>
      <c r="AL438" s="113"/>
      <c r="AM438" s="113"/>
      <c r="AN438" s="118"/>
      <c r="AO438" s="118"/>
      <c r="AP438" s="118"/>
      <c r="AQ438" s="118"/>
    </row>
    <row r="439" spans="2:43" ht="15.75" customHeight="1">
      <c r="B439" s="113"/>
      <c r="E439" s="114"/>
      <c r="Q439" s="116"/>
      <c r="Z439" s="117"/>
      <c r="AA439" s="117"/>
      <c r="AB439" s="117"/>
      <c r="AC439" s="117"/>
      <c r="AK439" s="113"/>
      <c r="AL439" s="113"/>
      <c r="AM439" s="113"/>
      <c r="AN439" s="118"/>
      <c r="AO439" s="118"/>
      <c r="AP439" s="118"/>
      <c r="AQ439" s="118"/>
    </row>
    <row r="440" spans="2:43" ht="15.75" customHeight="1">
      <c r="B440" s="113"/>
      <c r="E440" s="114"/>
      <c r="Q440" s="116"/>
      <c r="Z440" s="117"/>
      <c r="AA440" s="117"/>
      <c r="AB440" s="117"/>
      <c r="AC440" s="117"/>
      <c r="AK440" s="113"/>
      <c r="AL440" s="113"/>
      <c r="AM440" s="113"/>
      <c r="AN440" s="118"/>
      <c r="AO440" s="118"/>
      <c r="AP440" s="118"/>
      <c r="AQ440" s="118"/>
    </row>
    <row r="441" spans="2:43" ht="15.75" customHeight="1">
      <c r="B441" s="113"/>
      <c r="E441" s="114"/>
      <c r="Q441" s="116"/>
      <c r="Z441" s="117"/>
      <c r="AA441" s="117"/>
      <c r="AB441" s="117"/>
      <c r="AC441" s="117"/>
      <c r="AK441" s="113"/>
      <c r="AL441" s="113"/>
      <c r="AM441" s="113"/>
      <c r="AN441" s="118"/>
      <c r="AO441" s="118"/>
      <c r="AP441" s="118"/>
      <c r="AQ441" s="118"/>
    </row>
    <row r="442" spans="2:43" ht="15.75" customHeight="1">
      <c r="B442" s="113"/>
      <c r="E442" s="114"/>
      <c r="Q442" s="116"/>
      <c r="Z442" s="117"/>
      <c r="AA442" s="117"/>
      <c r="AB442" s="117"/>
      <c r="AC442" s="117"/>
      <c r="AK442" s="113"/>
      <c r="AL442" s="113"/>
      <c r="AM442" s="113"/>
      <c r="AN442" s="118"/>
      <c r="AO442" s="118"/>
      <c r="AP442" s="118"/>
      <c r="AQ442" s="118"/>
    </row>
    <row r="443" spans="2:43" ht="15.75" customHeight="1">
      <c r="B443" s="113"/>
      <c r="E443" s="114"/>
      <c r="Q443" s="116"/>
      <c r="Z443" s="117"/>
      <c r="AA443" s="117"/>
      <c r="AB443" s="117"/>
      <c r="AC443" s="117"/>
      <c r="AK443" s="113"/>
      <c r="AL443" s="113"/>
      <c r="AM443" s="113"/>
      <c r="AN443" s="118"/>
      <c r="AO443" s="118"/>
      <c r="AP443" s="118"/>
      <c r="AQ443" s="118"/>
    </row>
    <row r="444" spans="2:43" ht="15.75" customHeight="1">
      <c r="B444" s="113"/>
      <c r="E444" s="114"/>
      <c r="Q444" s="116"/>
      <c r="Z444" s="117"/>
      <c r="AA444" s="117"/>
      <c r="AB444" s="117"/>
      <c r="AC444" s="117"/>
      <c r="AK444" s="113"/>
      <c r="AL444" s="113"/>
      <c r="AM444" s="113"/>
      <c r="AN444" s="118"/>
      <c r="AO444" s="118"/>
      <c r="AP444" s="118"/>
      <c r="AQ444" s="118"/>
    </row>
    <row r="445" spans="2:43" ht="15.75" customHeight="1">
      <c r="B445" s="113"/>
      <c r="E445" s="114"/>
      <c r="Q445" s="116"/>
      <c r="Z445" s="117"/>
      <c r="AA445" s="117"/>
      <c r="AB445" s="117"/>
      <c r="AC445" s="117"/>
      <c r="AK445" s="113"/>
      <c r="AL445" s="113"/>
      <c r="AM445" s="113"/>
      <c r="AN445" s="118"/>
      <c r="AO445" s="118"/>
      <c r="AP445" s="118"/>
      <c r="AQ445" s="118"/>
    </row>
    <row r="446" spans="2:43" ht="15.75" customHeight="1">
      <c r="B446" s="113"/>
      <c r="E446" s="114"/>
      <c r="Q446" s="116"/>
      <c r="Z446" s="117"/>
      <c r="AA446" s="117"/>
      <c r="AB446" s="117"/>
      <c r="AC446" s="117"/>
      <c r="AK446" s="113"/>
      <c r="AL446" s="113"/>
      <c r="AM446" s="113"/>
      <c r="AN446" s="118"/>
      <c r="AO446" s="118"/>
      <c r="AP446" s="118"/>
      <c r="AQ446" s="118"/>
    </row>
    <row r="447" spans="2:43" ht="15.75" customHeight="1">
      <c r="B447" s="113"/>
      <c r="E447" s="114"/>
      <c r="Q447" s="116"/>
      <c r="Z447" s="117"/>
      <c r="AA447" s="117"/>
      <c r="AB447" s="117"/>
      <c r="AC447" s="117"/>
      <c r="AK447" s="113"/>
      <c r="AL447" s="113"/>
      <c r="AM447" s="113"/>
      <c r="AN447" s="118"/>
      <c r="AO447" s="118"/>
      <c r="AP447" s="118"/>
      <c r="AQ447" s="118"/>
    </row>
    <row r="448" spans="2:43" ht="15.75" customHeight="1">
      <c r="B448" s="113"/>
      <c r="E448" s="114"/>
      <c r="Q448" s="116"/>
      <c r="Z448" s="117"/>
      <c r="AA448" s="117"/>
      <c r="AB448" s="117"/>
      <c r="AC448" s="117"/>
      <c r="AK448" s="113"/>
      <c r="AL448" s="113"/>
      <c r="AM448" s="113"/>
      <c r="AN448" s="118"/>
      <c r="AO448" s="118"/>
      <c r="AP448" s="118"/>
      <c r="AQ448" s="118"/>
    </row>
    <row r="449" spans="2:43" ht="15.75" customHeight="1">
      <c r="B449" s="113"/>
      <c r="E449" s="114"/>
      <c r="Q449" s="116"/>
      <c r="Z449" s="117"/>
      <c r="AA449" s="117"/>
      <c r="AB449" s="117"/>
      <c r="AC449" s="117"/>
      <c r="AK449" s="113"/>
      <c r="AL449" s="113"/>
      <c r="AM449" s="113"/>
      <c r="AN449" s="118"/>
      <c r="AO449" s="118"/>
      <c r="AP449" s="118"/>
      <c r="AQ449" s="118"/>
    </row>
    <row r="450" spans="2:43" ht="15.75" customHeight="1">
      <c r="B450" s="113"/>
      <c r="E450" s="114"/>
      <c r="Q450" s="116"/>
      <c r="Z450" s="117"/>
      <c r="AA450" s="117"/>
      <c r="AB450" s="117"/>
      <c r="AC450" s="117"/>
      <c r="AK450" s="113"/>
      <c r="AL450" s="113"/>
      <c r="AM450" s="113"/>
      <c r="AN450" s="118"/>
      <c r="AO450" s="118"/>
      <c r="AP450" s="118"/>
      <c r="AQ450" s="118"/>
    </row>
    <row r="451" spans="2:43" ht="15.75" customHeight="1">
      <c r="B451" s="113"/>
      <c r="E451" s="114"/>
      <c r="Q451" s="116"/>
      <c r="Z451" s="117"/>
      <c r="AA451" s="117"/>
      <c r="AB451" s="117"/>
      <c r="AC451" s="117"/>
      <c r="AK451" s="113"/>
      <c r="AL451" s="113"/>
      <c r="AM451" s="113"/>
      <c r="AN451" s="118"/>
      <c r="AO451" s="118"/>
      <c r="AP451" s="118"/>
      <c r="AQ451" s="118"/>
    </row>
    <row r="452" spans="2:43" ht="15.75" customHeight="1">
      <c r="B452" s="113"/>
      <c r="E452" s="114"/>
      <c r="Q452" s="116"/>
      <c r="Z452" s="117"/>
      <c r="AA452" s="117"/>
      <c r="AB452" s="117"/>
      <c r="AC452" s="117"/>
      <c r="AK452" s="113"/>
      <c r="AL452" s="113"/>
      <c r="AM452" s="113"/>
      <c r="AN452" s="118"/>
      <c r="AO452" s="118"/>
      <c r="AP452" s="118"/>
      <c r="AQ452" s="118"/>
    </row>
    <row r="453" spans="2:43" ht="15.75" customHeight="1">
      <c r="B453" s="113"/>
      <c r="E453" s="114"/>
      <c r="Q453" s="116"/>
      <c r="Z453" s="117"/>
      <c r="AA453" s="117"/>
      <c r="AB453" s="117"/>
      <c r="AC453" s="117"/>
      <c r="AK453" s="113"/>
      <c r="AL453" s="113"/>
      <c r="AM453" s="113"/>
      <c r="AN453" s="118"/>
      <c r="AO453" s="118"/>
      <c r="AP453" s="118"/>
      <c r="AQ453" s="118"/>
    </row>
    <row r="454" spans="2:43" ht="15.75" customHeight="1">
      <c r="B454" s="113"/>
      <c r="E454" s="114"/>
      <c r="Q454" s="116"/>
      <c r="Z454" s="117"/>
      <c r="AA454" s="117"/>
      <c r="AB454" s="117"/>
      <c r="AC454" s="117"/>
      <c r="AK454" s="113"/>
      <c r="AL454" s="113"/>
      <c r="AM454" s="113"/>
      <c r="AN454" s="118"/>
      <c r="AO454" s="118"/>
      <c r="AP454" s="118"/>
      <c r="AQ454" s="118"/>
    </row>
    <row r="455" spans="2:43" ht="15.75" customHeight="1">
      <c r="B455" s="113"/>
      <c r="E455" s="114"/>
      <c r="Q455" s="116"/>
      <c r="Z455" s="117"/>
      <c r="AA455" s="117"/>
      <c r="AB455" s="117"/>
      <c r="AC455" s="117"/>
      <c r="AK455" s="113"/>
      <c r="AL455" s="113"/>
      <c r="AM455" s="113"/>
      <c r="AN455" s="118"/>
      <c r="AO455" s="118"/>
      <c r="AP455" s="118"/>
      <c r="AQ455" s="118"/>
    </row>
    <row r="456" spans="2:43" ht="15.75" customHeight="1">
      <c r="B456" s="113"/>
      <c r="E456" s="114"/>
      <c r="Q456" s="116"/>
      <c r="Z456" s="117"/>
      <c r="AA456" s="117"/>
      <c r="AB456" s="117"/>
      <c r="AC456" s="117"/>
      <c r="AK456" s="113"/>
      <c r="AL456" s="113"/>
      <c r="AM456" s="113"/>
      <c r="AN456" s="118"/>
      <c r="AO456" s="118"/>
      <c r="AP456" s="118"/>
      <c r="AQ456" s="118"/>
    </row>
    <row r="457" spans="2:43" ht="15.75" customHeight="1">
      <c r="B457" s="113"/>
      <c r="E457" s="114"/>
      <c r="Q457" s="116"/>
      <c r="Z457" s="117"/>
      <c r="AA457" s="117"/>
      <c r="AB457" s="117"/>
      <c r="AC457" s="117"/>
      <c r="AK457" s="113"/>
      <c r="AL457" s="113"/>
      <c r="AM457" s="113"/>
      <c r="AN457" s="118"/>
      <c r="AO457" s="118"/>
      <c r="AP457" s="118"/>
      <c r="AQ457" s="118"/>
    </row>
    <row r="458" spans="2:43" ht="15.75" customHeight="1">
      <c r="B458" s="113"/>
      <c r="E458" s="114"/>
      <c r="Q458" s="116"/>
      <c r="Z458" s="117"/>
      <c r="AA458" s="117"/>
      <c r="AB458" s="117"/>
      <c r="AC458" s="117"/>
      <c r="AK458" s="113"/>
      <c r="AL458" s="113"/>
      <c r="AM458" s="113"/>
      <c r="AN458" s="118"/>
      <c r="AO458" s="118"/>
      <c r="AP458" s="118"/>
      <c r="AQ458" s="118"/>
    </row>
    <row r="459" spans="2:43" ht="15.75" customHeight="1">
      <c r="B459" s="113"/>
      <c r="E459" s="114"/>
      <c r="Q459" s="116"/>
      <c r="Z459" s="117"/>
      <c r="AA459" s="117"/>
      <c r="AB459" s="117"/>
      <c r="AC459" s="117"/>
      <c r="AK459" s="113"/>
      <c r="AL459" s="113"/>
      <c r="AM459" s="113"/>
      <c r="AN459" s="118"/>
      <c r="AO459" s="118"/>
      <c r="AP459" s="118"/>
      <c r="AQ459" s="118"/>
    </row>
    <row r="460" spans="2:43" ht="15.75" customHeight="1">
      <c r="B460" s="113"/>
      <c r="E460" s="114"/>
      <c r="Q460" s="116"/>
      <c r="Z460" s="117"/>
      <c r="AA460" s="117"/>
      <c r="AB460" s="117"/>
      <c r="AC460" s="117"/>
      <c r="AK460" s="113"/>
      <c r="AL460" s="113"/>
      <c r="AM460" s="113"/>
      <c r="AN460" s="118"/>
      <c r="AO460" s="118"/>
      <c r="AP460" s="118"/>
      <c r="AQ460" s="118"/>
    </row>
    <row r="461" spans="2:43" ht="15.75" customHeight="1">
      <c r="B461" s="113"/>
      <c r="E461" s="114"/>
      <c r="Q461" s="116"/>
      <c r="Z461" s="117"/>
      <c r="AA461" s="117"/>
      <c r="AB461" s="117"/>
      <c r="AC461" s="117"/>
      <c r="AK461" s="113"/>
      <c r="AL461" s="113"/>
      <c r="AM461" s="113"/>
      <c r="AN461" s="118"/>
      <c r="AO461" s="118"/>
      <c r="AP461" s="118"/>
      <c r="AQ461" s="118"/>
    </row>
    <row r="462" spans="2:43" ht="15.75" customHeight="1">
      <c r="B462" s="113"/>
      <c r="E462" s="114"/>
      <c r="Q462" s="116"/>
      <c r="Z462" s="117"/>
      <c r="AA462" s="117"/>
      <c r="AB462" s="117"/>
      <c r="AC462" s="117"/>
      <c r="AK462" s="113"/>
      <c r="AL462" s="113"/>
      <c r="AM462" s="113"/>
      <c r="AN462" s="118"/>
      <c r="AO462" s="118"/>
      <c r="AP462" s="118"/>
      <c r="AQ462" s="118"/>
    </row>
    <row r="463" spans="2:43" ht="15.75" customHeight="1">
      <c r="B463" s="113"/>
      <c r="E463" s="114"/>
      <c r="Q463" s="116"/>
      <c r="Z463" s="117"/>
      <c r="AA463" s="117"/>
      <c r="AB463" s="117"/>
      <c r="AC463" s="117"/>
      <c r="AK463" s="113"/>
      <c r="AL463" s="113"/>
      <c r="AM463" s="113"/>
      <c r="AN463" s="118"/>
      <c r="AO463" s="118"/>
      <c r="AP463" s="118"/>
      <c r="AQ463" s="118"/>
    </row>
    <row r="464" spans="2:43" ht="15.75" customHeight="1">
      <c r="B464" s="113"/>
      <c r="E464" s="114"/>
      <c r="Q464" s="116"/>
      <c r="Z464" s="117"/>
      <c r="AA464" s="117"/>
      <c r="AB464" s="117"/>
      <c r="AC464" s="117"/>
      <c r="AK464" s="113"/>
      <c r="AL464" s="113"/>
      <c r="AM464" s="113"/>
      <c r="AN464" s="118"/>
      <c r="AO464" s="118"/>
      <c r="AP464" s="118"/>
      <c r="AQ464" s="118"/>
    </row>
    <row r="465" spans="2:43" ht="15.75" customHeight="1">
      <c r="B465" s="113"/>
      <c r="E465" s="114"/>
      <c r="Q465" s="116"/>
      <c r="Z465" s="117"/>
      <c r="AA465" s="117"/>
      <c r="AB465" s="117"/>
      <c r="AC465" s="117"/>
      <c r="AK465" s="113"/>
      <c r="AL465" s="113"/>
      <c r="AM465" s="113"/>
      <c r="AN465" s="118"/>
      <c r="AO465" s="118"/>
      <c r="AP465" s="118"/>
      <c r="AQ465" s="118"/>
    </row>
    <row r="466" spans="2:43" ht="15.75" customHeight="1">
      <c r="B466" s="113"/>
      <c r="E466" s="114"/>
      <c r="Q466" s="116"/>
      <c r="Z466" s="117"/>
      <c r="AA466" s="117"/>
      <c r="AB466" s="117"/>
      <c r="AC466" s="117"/>
      <c r="AK466" s="113"/>
      <c r="AL466" s="113"/>
      <c r="AM466" s="113"/>
      <c r="AN466" s="118"/>
      <c r="AO466" s="118"/>
      <c r="AP466" s="118"/>
      <c r="AQ466" s="118"/>
    </row>
    <row r="467" spans="2:43" ht="15.75" customHeight="1">
      <c r="B467" s="113"/>
      <c r="E467" s="114"/>
      <c r="Q467" s="116"/>
      <c r="Z467" s="117"/>
      <c r="AA467" s="117"/>
      <c r="AB467" s="117"/>
      <c r="AC467" s="117"/>
      <c r="AK467" s="113"/>
      <c r="AL467" s="113"/>
      <c r="AM467" s="113"/>
      <c r="AN467" s="118"/>
      <c r="AO467" s="118"/>
      <c r="AP467" s="118"/>
      <c r="AQ467" s="118"/>
    </row>
    <row r="468" spans="2:43" ht="15.75" customHeight="1">
      <c r="B468" s="113"/>
      <c r="E468" s="114"/>
      <c r="Q468" s="116"/>
      <c r="Z468" s="117"/>
      <c r="AA468" s="117"/>
      <c r="AB468" s="117"/>
      <c r="AC468" s="117"/>
      <c r="AK468" s="113"/>
      <c r="AL468" s="113"/>
      <c r="AM468" s="113"/>
      <c r="AN468" s="118"/>
      <c r="AO468" s="118"/>
      <c r="AP468" s="118"/>
      <c r="AQ468" s="118"/>
    </row>
    <row r="469" spans="2:43" ht="15.75" customHeight="1">
      <c r="B469" s="113"/>
      <c r="E469" s="114"/>
      <c r="Q469" s="116"/>
      <c r="Z469" s="117"/>
      <c r="AA469" s="117"/>
      <c r="AB469" s="117"/>
      <c r="AC469" s="117"/>
      <c r="AK469" s="113"/>
      <c r="AL469" s="113"/>
      <c r="AM469" s="113"/>
      <c r="AN469" s="118"/>
      <c r="AO469" s="118"/>
      <c r="AP469" s="118"/>
      <c r="AQ469" s="118"/>
    </row>
    <row r="470" spans="2:43" ht="15.75" customHeight="1">
      <c r="B470" s="113"/>
      <c r="E470" s="114"/>
      <c r="Q470" s="116"/>
      <c r="Z470" s="117"/>
      <c r="AA470" s="117"/>
      <c r="AB470" s="117"/>
      <c r="AC470" s="117"/>
      <c r="AK470" s="113"/>
      <c r="AL470" s="113"/>
      <c r="AM470" s="113"/>
      <c r="AN470" s="118"/>
      <c r="AO470" s="118"/>
      <c r="AP470" s="118"/>
      <c r="AQ470" s="118"/>
    </row>
    <row r="471" spans="2:43" ht="15.75" customHeight="1">
      <c r="B471" s="113"/>
      <c r="E471" s="114"/>
      <c r="Q471" s="116"/>
      <c r="Z471" s="117"/>
      <c r="AA471" s="117"/>
      <c r="AB471" s="117"/>
      <c r="AC471" s="117"/>
      <c r="AK471" s="113"/>
      <c r="AL471" s="113"/>
      <c r="AM471" s="113"/>
      <c r="AN471" s="118"/>
      <c r="AO471" s="118"/>
      <c r="AP471" s="118"/>
      <c r="AQ471" s="118"/>
    </row>
    <row r="472" spans="2:43" ht="15.75" customHeight="1">
      <c r="B472" s="113"/>
      <c r="E472" s="114"/>
      <c r="Q472" s="116"/>
      <c r="Z472" s="117"/>
      <c r="AA472" s="117"/>
      <c r="AB472" s="117"/>
      <c r="AC472" s="117"/>
      <c r="AK472" s="113"/>
      <c r="AL472" s="113"/>
      <c r="AM472" s="113"/>
      <c r="AN472" s="118"/>
      <c r="AO472" s="118"/>
      <c r="AP472" s="118"/>
      <c r="AQ472" s="118"/>
    </row>
    <row r="473" spans="2:43" ht="15.75" customHeight="1">
      <c r="B473" s="113"/>
      <c r="E473" s="114"/>
      <c r="Q473" s="116"/>
      <c r="Z473" s="117"/>
      <c r="AA473" s="117"/>
      <c r="AB473" s="117"/>
      <c r="AC473" s="117"/>
      <c r="AK473" s="113"/>
      <c r="AL473" s="113"/>
      <c r="AM473" s="113"/>
      <c r="AN473" s="118"/>
      <c r="AO473" s="118"/>
      <c r="AP473" s="118"/>
      <c r="AQ473" s="118"/>
    </row>
    <row r="474" spans="2:43" ht="15.75" customHeight="1">
      <c r="B474" s="113"/>
      <c r="E474" s="114"/>
      <c r="Q474" s="116"/>
      <c r="Z474" s="117"/>
      <c r="AA474" s="117"/>
      <c r="AB474" s="117"/>
      <c r="AC474" s="117"/>
      <c r="AK474" s="113"/>
      <c r="AL474" s="113"/>
      <c r="AM474" s="113"/>
      <c r="AN474" s="118"/>
      <c r="AO474" s="118"/>
      <c r="AP474" s="118"/>
      <c r="AQ474" s="118"/>
    </row>
    <row r="475" spans="2:43" ht="15.75" customHeight="1">
      <c r="B475" s="113"/>
      <c r="E475" s="114"/>
      <c r="Q475" s="116"/>
      <c r="Z475" s="117"/>
      <c r="AA475" s="117"/>
      <c r="AB475" s="117"/>
      <c r="AC475" s="117"/>
      <c r="AK475" s="113"/>
      <c r="AL475" s="113"/>
      <c r="AM475" s="113"/>
      <c r="AN475" s="118"/>
      <c r="AO475" s="118"/>
      <c r="AP475" s="118"/>
      <c r="AQ475" s="118"/>
    </row>
    <row r="476" spans="2:43" ht="15.75" customHeight="1">
      <c r="B476" s="113"/>
      <c r="E476" s="114"/>
      <c r="Q476" s="116"/>
      <c r="Z476" s="117"/>
      <c r="AA476" s="117"/>
      <c r="AB476" s="117"/>
      <c r="AC476" s="117"/>
      <c r="AK476" s="113"/>
      <c r="AL476" s="113"/>
      <c r="AM476" s="113"/>
      <c r="AN476" s="118"/>
      <c r="AO476" s="118"/>
      <c r="AP476" s="118"/>
      <c r="AQ476" s="118"/>
    </row>
    <row r="477" spans="2:43" ht="15.75" customHeight="1">
      <c r="B477" s="113"/>
      <c r="E477" s="114"/>
      <c r="Q477" s="116"/>
      <c r="Z477" s="117"/>
      <c r="AA477" s="117"/>
      <c r="AB477" s="117"/>
      <c r="AC477" s="117"/>
      <c r="AK477" s="113"/>
      <c r="AL477" s="113"/>
      <c r="AM477" s="113"/>
      <c r="AN477" s="118"/>
      <c r="AO477" s="118"/>
      <c r="AP477" s="118"/>
      <c r="AQ477" s="118"/>
    </row>
    <row r="478" spans="2:43" ht="15.75" customHeight="1">
      <c r="B478" s="113"/>
      <c r="E478" s="114"/>
      <c r="Q478" s="116"/>
      <c r="Z478" s="117"/>
      <c r="AA478" s="117"/>
      <c r="AB478" s="117"/>
      <c r="AC478" s="117"/>
      <c r="AK478" s="113"/>
      <c r="AL478" s="113"/>
      <c r="AM478" s="113"/>
      <c r="AN478" s="118"/>
      <c r="AO478" s="118"/>
      <c r="AP478" s="118"/>
      <c r="AQ478" s="118"/>
    </row>
    <row r="479" spans="2:43" ht="15.75" customHeight="1">
      <c r="B479" s="113"/>
      <c r="E479" s="114"/>
      <c r="Q479" s="116"/>
      <c r="Z479" s="117"/>
      <c r="AA479" s="117"/>
      <c r="AB479" s="117"/>
      <c r="AC479" s="117"/>
      <c r="AK479" s="113"/>
      <c r="AL479" s="113"/>
      <c r="AM479" s="113"/>
      <c r="AN479" s="118"/>
      <c r="AO479" s="118"/>
      <c r="AP479" s="118"/>
      <c r="AQ479" s="118"/>
    </row>
    <row r="480" spans="2:43" ht="15.75" customHeight="1">
      <c r="B480" s="113"/>
      <c r="E480" s="114"/>
      <c r="Q480" s="116"/>
      <c r="Z480" s="117"/>
      <c r="AA480" s="117"/>
      <c r="AB480" s="117"/>
      <c r="AC480" s="117"/>
      <c r="AK480" s="113"/>
      <c r="AL480" s="113"/>
      <c r="AM480" s="113"/>
      <c r="AN480" s="118"/>
      <c r="AO480" s="118"/>
      <c r="AP480" s="118"/>
      <c r="AQ480" s="118"/>
    </row>
    <row r="481" spans="2:43" ht="15.75" customHeight="1">
      <c r="B481" s="113"/>
      <c r="E481" s="114"/>
      <c r="Q481" s="116"/>
      <c r="Z481" s="117"/>
      <c r="AA481" s="117"/>
      <c r="AB481" s="117"/>
      <c r="AC481" s="117"/>
      <c r="AK481" s="113"/>
      <c r="AL481" s="113"/>
      <c r="AM481" s="113"/>
      <c r="AN481" s="118"/>
      <c r="AO481" s="118"/>
      <c r="AP481" s="118"/>
      <c r="AQ481" s="118"/>
    </row>
    <row r="482" spans="2:43" ht="15.75" customHeight="1">
      <c r="B482" s="113"/>
      <c r="E482" s="114"/>
      <c r="Q482" s="116"/>
      <c r="Z482" s="117"/>
      <c r="AA482" s="117"/>
      <c r="AB482" s="117"/>
      <c r="AC482" s="117"/>
      <c r="AK482" s="113"/>
      <c r="AL482" s="113"/>
      <c r="AM482" s="113"/>
      <c r="AN482" s="118"/>
      <c r="AO482" s="118"/>
      <c r="AP482" s="118"/>
      <c r="AQ482" s="118"/>
    </row>
    <row r="483" spans="2:43" ht="15.75" customHeight="1">
      <c r="B483" s="113"/>
      <c r="E483" s="114"/>
      <c r="Q483" s="116"/>
      <c r="Z483" s="117"/>
      <c r="AA483" s="117"/>
      <c r="AB483" s="117"/>
      <c r="AC483" s="117"/>
      <c r="AK483" s="113"/>
      <c r="AL483" s="113"/>
      <c r="AM483" s="113"/>
      <c r="AN483" s="118"/>
      <c r="AO483" s="118"/>
      <c r="AP483" s="118"/>
      <c r="AQ483" s="118"/>
    </row>
    <row r="484" spans="2:43" ht="15.75" customHeight="1">
      <c r="B484" s="113"/>
      <c r="E484" s="114"/>
      <c r="Q484" s="116"/>
      <c r="Z484" s="117"/>
      <c r="AA484" s="117"/>
      <c r="AB484" s="117"/>
      <c r="AC484" s="117"/>
      <c r="AK484" s="113"/>
      <c r="AL484" s="113"/>
      <c r="AM484" s="113"/>
      <c r="AN484" s="118"/>
      <c r="AO484" s="118"/>
      <c r="AP484" s="118"/>
      <c r="AQ484" s="118"/>
    </row>
    <row r="485" spans="2:43" ht="15.75" customHeight="1">
      <c r="B485" s="113"/>
      <c r="E485" s="114"/>
      <c r="Q485" s="116"/>
      <c r="Z485" s="117"/>
      <c r="AA485" s="117"/>
      <c r="AB485" s="117"/>
      <c r="AC485" s="117"/>
      <c r="AK485" s="113"/>
      <c r="AL485" s="113"/>
      <c r="AM485" s="113"/>
      <c r="AN485" s="118"/>
      <c r="AO485" s="118"/>
      <c r="AP485" s="118"/>
      <c r="AQ485" s="118"/>
    </row>
    <row r="486" spans="2:43" ht="15.75" customHeight="1">
      <c r="B486" s="113"/>
      <c r="E486" s="114"/>
      <c r="Q486" s="116"/>
      <c r="Z486" s="117"/>
      <c r="AA486" s="117"/>
      <c r="AB486" s="117"/>
      <c r="AC486" s="117"/>
      <c r="AK486" s="113"/>
      <c r="AL486" s="113"/>
      <c r="AM486" s="113"/>
      <c r="AN486" s="118"/>
      <c r="AO486" s="118"/>
      <c r="AP486" s="118"/>
      <c r="AQ486" s="118"/>
    </row>
    <row r="487" spans="2:43" ht="15.75" customHeight="1">
      <c r="B487" s="113"/>
      <c r="E487" s="114"/>
      <c r="Q487" s="116"/>
      <c r="Z487" s="117"/>
      <c r="AA487" s="117"/>
      <c r="AB487" s="117"/>
      <c r="AC487" s="117"/>
      <c r="AK487" s="113"/>
      <c r="AL487" s="113"/>
      <c r="AM487" s="113"/>
      <c r="AN487" s="118"/>
      <c r="AO487" s="118"/>
      <c r="AP487" s="118"/>
      <c r="AQ487" s="118"/>
    </row>
    <row r="488" spans="2:43" ht="15.75" customHeight="1">
      <c r="B488" s="113"/>
      <c r="E488" s="114"/>
      <c r="Q488" s="116"/>
      <c r="Z488" s="117"/>
      <c r="AA488" s="117"/>
      <c r="AB488" s="117"/>
      <c r="AC488" s="117"/>
      <c r="AK488" s="113"/>
      <c r="AL488" s="113"/>
      <c r="AM488" s="113"/>
      <c r="AN488" s="118"/>
      <c r="AO488" s="118"/>
      <c r="AP488" s="118"/>
      <c r="AQ488" s="118"/>
    </row>
    <row r="489" spans="2:43" ht="15.75" customHeight="1">
      <c r="B489" s="113"/>
      <c r="E489" s="114"/>
      <c r="Q489" s="116"/>
      <c r="Z489" s="117"/>
      <c r="AA489" s="117"/>
      <c r="AB489" s="117"/>
      <c r="AC489" s="117"/>
      <c r="AK489" s="113"/>
      <c r="AL489" s="113"/>
      <c r="AM489" s="113"/>
      <c r="AN489" s="118"/>
      <c r="AO489" s="118"/>
      <c r="AP489" s="118"/>
      <c r="AQ489" s="118"/>
    </row>
    <row r="490" spans="2:43" ht="15.75" customHeight="1">
      <c r="B490" s="113"/>
      <c r="E490" s="114"/>
      <c r="Q490" s="116"/>
      <c r="Z490" s="117"/>
      <c r="AA490" s="117"/>
      <c r="AB490" s="117"/>
      <c r="AC490" s="117"/>
      <c r="AK490" s="113"/>
      <c r="AL490" s="113"/>
      <c r="AM490" s="113"/>
      <c r="AN490" s="118"/>
      <c r="AO490" s="118"/>
      <c r="AP490" s="118"/>
      <c r="AQ490" s="118"/>
    </row>
    <row r="491" spans="2:43" ht="15.75" customHeight="1">
      <c r="B491" s="113"/>
      <c r="E491" s="114"/>
      <c r="Q491" s="116"/>
      <c r="Z491" s="117"/>
      <c r="AA491" s="117"/>
      <c r="AB491" s="117"/>
      <c r="AC491" s="117"/>
      <c r="AK491" s="113"/>
      <c r="AL491" s="113"/>
      <c r="AM491" s="113"/>
      <c r="AN491" s="118"/>
      <c r="AO491" s="118"/>
      <c r="AP491" s="118"/>
      <c r="AQ491" s="118"/>
    </row>
    <row r="492" spans="2:43" ht="15.75" customHeight="1">
      <c r="B492" s="113"/>
      <c r="E492" s="114"/>
      <c r="Q492" s="116"/>
      <c r="Z492" s="117"/>
      <c r="AA492" s="117"/>
      <c r="AB492" s="117"/>
      <c r="AC492" s="117"/>
      <c r="AK492" s="113"/>
      <c r="AL492" s="113"/>
      <c r="AM492" s="113"/>
      <c r="AN492" s="118"/>
      <c r="AO492" s="118"/>
      <c r="AP492" s="118"/>
      <c r="AQ492" s="118"/>
    </row>
    <row r="493" spans="2:43" ht="15.75" customHeight="1">
      <c r="B493" s="113"/>
      <c r="E493" s="114"/>
      <c r="Q493" s="116"/>
      <c r="Z493" s="117"/>
      <c r="AA493" s="117"/>
      <c r="AB493" s="117"/>
      <c r="AC493" s="117"/>
      <c r="AK493" s="113"/>
      <c r="AL493" s="113"/>
      <c r="AM493" s="113"/>
      <c r="AN493" s="118"/>
      <c r="AO493" s="118"/>
      <c r="AP493" s="118"/>
      <c r="AQ493" s="118"/>
    </row>
    <row r="494" spans="2:43" ht="15.75" customHeight="1">
      <c r="B494" s="113"/>
      <c r="E494" s="114"/>
      <c r="Q494" s="116"/>
      <c r="Z494" s="117"/>
      <c r="AA494" s="117"/>
      <c r="AB494" s="117"/>
      <c r="AC494" s="117"/>
      <c r="AK494" s="113"/>
      <c r="AL494" s="113"/>
      <c r="AM494" s="113"/>
      <c r="AN494" s="118"/>
      <c r="AO494" s="118"/>
      <c r="AP494" s="118"/>
      <c r="AQ494" s="118"/>
    </row>
    <row r="495" spans="2:43" ht="15.75" customHeight="1">
      <c r="B495" s="113"/>
      <c r="E495" s="114"/>
      <c r="Q495" s="116"/>
      <c r="Z495" s="117"/>
      <c r="AA495" s="117"/>
      <c r="AB495" s="117"/>
      <c r="AC495" s="117"/>
      <c r="AK495" s="113"/>
      <c r="AL495" s="113"/>
      <c r="AM495" s="113"/>
      <c r="AN495" s="118"/>
      <c r="AO495" s="118"/>
      <c r="AP495" s="118"/>
      <c r="AQ495" s="118"/>
    </row>
    <row r="496" spans="2:43" ht="15.75" customHeight="1">
      <c r="B496" s="113"/>
      <c r="E496" s="114"/>
      <c r="Q496" s="116"/>
      <c r="Z496" s="117"/>
      <c r="AA496" s="117"/>
      <c r="AB496" s="117"/>
      <c r="AC496" s="117"/>
      <c r="AK496" s="113"/>
      <c r="AL496" s="113"/>
      <c r="AM496" s="113"/>
      <c r="AN496" s="118"/>
      <c r="AO496" s="118"/>
      <c r="AP496" s="118"/>
      <c r="AQ496" s="118"/>
    </row>
    <row r="497" spans="2:43" ht="15.75" customHeight="1">
      <c r="B497" s="113"/>
      <c r="E497" s="114"/>
      <c r="Q497" s="116"/>
      <c r="Z497" s="117"/>
      <c r="AA497" s="117"/>
      <c r="AB497" s="117"/>
      <c r="AC497" s="117"/>
      <c r="AK497" s="113"/>
      <c r="AL497" s="113"/>
      <c r="AM497" s="113"/>
      <c r="AN497" s="118"/>
      <c r="AO497" s="118"/>
      <c r="AP497" s="118"/>
      <c r="AQ497" s="118"/>
    </row>
    <row r="498" spans="2:43" ht="15.75" customHeight="1">
      <c r="B498" s="113"/>
      <c r="E498" s="114"/>
      <c r="Q498" s="116"/>
      <c r="Z498" s="117"/>
      <c r="AA498" s="117"/>
      <c r="AB498" s="117"/>
      <c r="AC498" s="117"/>
      <c r="AK498" s="113"/>
      <c r="AL498" s="113"/>
      <c r="AM498" s="113"/>
      <c r="AN498" s="118"/>
      <c r="AO498" s="118"/>
      <c r="AP498" s="118"/>
      <c r="AQ498" s="118"/>
    </row>
    <row r="499" spans="2:43" ht="15.75" customHeight="1">
      <c r="B499" s="113"/>
      <c r="E499" s="114"/>
      <c r="Q499" s="116"/>
      <c r="Z499" s="117"/>
      <c r="AA499" s="117"/>
      <c r="AB499" s="117"/>
      <c r="AC499" s="117"/>
      <c r="AK499" s="113"/>
      <c r="AL499" s="113"/>
      <c r="AM499" s="113"/>
      <c r="AN499" s="118"/>
      <c r="AO499" s="118"/>
      <c r="AP499" s="118"/>
      <c r="AQ499" s="118"/>
    </row>
    <row r="500" spans="2:43" ht="15.75" customHeight="1">
      <c r="B500" s="113"/>
      <c r="E500" s="114"/>
      <c r="Q500" s="116"/>
      <c r="Z500" s="117"/>
      <c r="AA500" s="117"/>
      <c r="AB500" s="117"/>
      <c r="AC500" s="117"/>
      <c r="AK500" s="113"/>
      <c r="AL500" s="113"/>
      <c r="AM500" s="113"/>
      <c r="AN500" s="118"/>
      <c r="AO500" s="118"/>
      <c r="AP500" s="118"/>
      <c r="AQ500" s="118"/>
    </row>
    <row r="501" spans="2:43" ht="15.75" customHeight="1">
      <c r="B501" s="113"/>
      <c r="E501" s="114"/>
      <c r="Q501" s="116"/>
      <c r="Z501" s="117"/>
      <c r="AA501" s="117"/>
      <c r="AB501" s="117"/>
      <c r="AC501" s="117"/>
      <c r="AK501" s="113"/>
      <c r="AL501" s="113"/>
      <c r="AM501" s="113"/>
      <c r="AN501" s="118"/>
      <c r="AO501" s="118"/>
      <c r="AP501" s="118"/>
      <c r="AQ501" s="118"/>
    </row>
    <row r="502" spans="2:43" ht="15.75" customHeight="1">
      <c r="B502" s="113"/>
      <c r="E502" s="114"/>
      <c r="Q502" s="116"/>
      <c r="Z502" s="117"/>
      <c r="AA502" s="117"/>
      <c r="AB502" s="117"/>
      <c r="AC502" s="117"/>
      <c r="AK502" s="113"/>
      <c r="AL502" s="113"/>
      <c r="AM502" s="113"/>
      <c r="AN502" s="118"/>
      <c r="AO502" s="118"/>
      <c r="AP502" s="118"/>
      <c r="AQ502" s="118"/>
    </row>
    <row r="503" spans="2:43" ht="15.75" customHeight="1">
      <c r="B503" s="113"/>
      <c r="E503" s="114"/>
      <c r="Q503" s="116"/>
      <c r="Z503" s="117"/>
      <c r="AA503" s="117"/>
      <c r="AB503" s="117"/>
      <c r="AC503" s="117"/>
      <c r="AK503" s="113"/>
      <c r="AL503" s="113"/>
      <c r="AM503" s="113"/>
      <c r="AN503" s="118"/>
      <c r="AO503" s="118"/>
      <c r="AP503" s="118"/>
      <c r="AQ503" s="118"/>
    </row>
    <row r="504" spans="2:43" ht="15.75" customHeight="1">
      <c r="B504" s="113"/>
      <c r="E504" s="114"/>
      <c r="Q504" s="116"/>
      <c r="Z504" s="117"/>
      <c r="AA504" s="117"/>
      <c r="AB504" s="117"/>
      <c r="AC504" s="117"/>
      <c r="AK504" s="113"/>
      <c r="AL504" s="113"/>
      <c r="AM504" s="113"/>
      <c r="AN504" s="118"/>
      <c r="AO504" s="118"/>
      <c r="AP504" s="118"/>
      <c r="AQ504" s="118"/>
    </row>
    <row r="505" spans="2:43" ht="15.75" customHeight="1">
      <c r="B505" s="113"/>
      <c r="E505" s="114"/>
      <c r="Q505" s="116"/>
      <c r="Z505" s="117"/>
      <c r="AA505" s="117"/>
      <c r="AB505" s="117"/>
      <c r="AC505" s="117"/>
      <c r="AK505" s="113"/>
      <c r="AL505" s="113"/>
      <c r="AM505" s="113"/>
      <c r="AN505" s="118"/>
      <c r="AO505" s="118"/>
      <c r="AP505" s="118"/>
      <c r="AQ505" s="118"/>
    </row>
    <row r="506" spans="2:43" ht="15.75" customHeight="1">
      <c r="B506" s="113"/>
      <c r="E506" s="114"/>
      <c r="Q506" s="116"/>
      <c r="Z506" s="117"/>
      <c r="AA506" s="117"/>
      <c r="AB506" s="117"/>
      <c r="AC506" s="117"/>
      <c r="AK506" s="113"/>
      <c r="AL506" s="113"/>
      <c r="AM506" s="113"/>
      <c r="AN506" s="118"/>
      <c r="AO506" s="118"/>
      <c r="AP506" s="118"/>
      <c r="AQ506" s="118"/>
    </row>
    <row r="507" spans="2:43" ht="15.75" customHeight="1">
      <c r="B507" s="113"/>
      <c r="E507" s="114"/>
      <c r="Q507" s="116"/>
      <c r="Z507" s="117"/>
      <c r="AA507" s="117"/>
      <c r="AB507" s="117"/>
      <c r="AC507" s="117"/>
      <c r="AK507" s="113"/>
      <c r="AL507" s="113"/>
      <c r="AM507" s="113"/>
      <c r="AN507" s="118"/>
      <c r="AO507" s="118"/>
      <c r="AP507" s="118"/>
      <c r="AQ507" s="118"/>
    </row>
    <row r="508" spans="2:43" ht="15.75" customHeight="1">
      <c r="B508" s="113"/>
      <c r="E508" s="114"/>
      <c r="Q508" s="116"/>
      <c r="Z508" s="117"/>
      <c r="AA508" s="117"/>
      <c r="AB508" s="117"/>
      <c r="AC508" s="117"/>
      <c r="AK508" s="113"/>
      <c r="AL508" s="113"/>
      <c r="AM508" s="113"/>
      <c r="AN508" s="118"/>
      <c r="AO508" s="118"/>
      <c r="AP508" s="118"/>
      <c r="AQ508" s="118"/>
    </row>
    <row r="509" spans="2:43" ht="15.75" customHeight="1">
      <c r="B509" s="113"/>
      <c r="E509" s="114"/>
      <c r="Q509" s="116"/>
      <c r="Z509" s="117"/>
      <c r="AA509" s="117"/>
      <c r="AB509" s="117"/>
      <c r="AC509" s="117"/>
      <c r="AK509" s="113"/>
      <c r="AL509" s="113"/>
      <c r="AM509" s="113"/>
      <c r="AN509" s="118"/>
      <c r="AO509" s="118"/>
      <c r="AP509" s="118"/>
      <c r="AQ509" s="118"/>
    </row>
    <row r="510" spans="2:43" ht="15.75" customHeight="1">
      <c r="B510" s="113"/>
      <c r="E510" s="114"/>
      <c r="Q510" s="116"/>
      <c r="Z510" s="117"/>
      <c r="AA510" s="117"/>
      <c r="AB510" s="117"/>
      <c r="AC510" s="117"/>
      <c r="AK510" s="113"/>
      <c r="AL510" s="113"/>
      <c r="AM510" s="113"/>
      <c r="AN510" s="118"/>
      <c r="AO510" s="118"/>
      <c r="AP510" s="118"/>
      <c r="AQ510" s="118"/>
    </row>
    <row r="511" spans="2:43" ht="15.75" customHeight="1">
      <c r="B511" s="113"/>
      <c r="E511" s="114"/>
      <c r="Q511" s="116"/>
      <c r="Z511" s="117"/>
      <c r="AA511" s="117"/>
      <c r="AB511" s="117"/>
      <c r="AC511" s="117"/>
      <c r="AK511" s="113"/>
      <c r="AL511" s="113"/>
      <c r="AM511" s="113"/>
      <c r="AN511" s="118"/>
      <c r="AO511" s="118"/>
      <c r="AP511" s="118"/>
      <c r="AQ511" s="118"/>
    </row>
    <row r="512" spans="2:43" ht="15.75" customHeight="1">
      <c r="B512" s="113"/>
      <c r="E512" s="114"/>
      <c r="Q512" s="116"/>
      <c r="Z512" s="117"/>
      <c r="AA512" s="117"/>
      <c r="AB512" s="117"/>
      <c r="AC512" s="117"/>
      <c r="AK512" s="113"/>
      <c r="AL512" s="113"/>
      <c r="AM512" s="113"/>
      <c r="AN512" s="118"/>
      <c r="AO512" s="118"/>
      <c r="AP512" s="118"/>
      <c r="AQ512" s="118"/>
    </row>
    <row r="513" spans="2:43" ht="15.75" customHeight="1">
      <c r="B513" s="113"/>
      <c r="E513" s="114"/>
      <c r="Q513" s="116"/>
      <c r="Z513" s="117"/>
      <c r="AA513" s="117"/>
      <c r="AB513" s="117"/>
      <c r="AC513" s="117"/>
      <c r="AK513" s="113"/>
      <c r="AL513" s="113"/>
      <c r="AM513" s="113"/>
      <c r="AN513" s="118"/>
      <c r="AO513" s="118"/>
      <c r="AP513" s="118"/>
      <c r="AQ513" s="118"/>
    </row>
    <row r="514" spans="2:43" ht="15.75" customHeight="1">
      <c r="B514" s="113"/>
      <c r="E514" s="114"/>
      <c r="Q514" s="116"/>
      <c r="Z514" s="117"/>
      <c r="AA514" s="117"/>
      <c r="AB514" s="117"/>
      <c r="AC514" s="117"/>
      <c r="AK514" s="113"/>
      <c r="AL514" s="113"/>
      <c r="AM514" s="113"/>
      <c r="AN514" s="118"/>
      <c r="AO514" s="118"/>
      <c r="AP514" s="118"/>
      <c r="AQ514" s="118"/>
    </row>
    <row r="515" spans="2:43" ht="15.75" customHeight="1">
      <c r="B515" s="113"/>
      <c r="E515" s="114"/>
      <c r="Q515" s="116"/>
      <c r="Z515" s="117"/>
      <c r="AA515" s="117"/>
      <c r="AB515" s="117"/>
      <c r="AC515" s="117"/>
      <c r="AK515" s="113"/>
      <c r="AL515" s="113"/>
      <c r="AM515" s="113"/>
      <c r="AN515" s="118"/>
      <c r="AO515" s="118"/>
      <c r="AP515" s="118"/>
      <c r="AQ515" s="118"/>
    </row>
    <row r="516" spans="2:43" ht="15.75" customHeight="1">
      <c r="B516" s="113"/>
      <c r="E516" s="114"/>
      <c r="Q516" s="116"/>
      <c r="Z516" s="117"/>
      <c r="AA516" s="117"/>
      <c r="AB516" s="117"/>
      <c r="AC516" s="117"/>
      <c r="AK516" s="113"/>
      <c r="AL516" s="113"/>
      <c r="AM516" s="113"/>
      <c r="AN516" s="118"/>
      <c r="AO516" s="118"/>
      <c r="AP516" s="118"/>
      <c r="AQ516" s="118"/>
    </row>
    <row r="517" spans="2:43" ht="15.75" customHeight="1">
      <c r="B517" s="113"/>
      <c r="E517" s="114"/>
      <c r="Q517" s="116"/>
      <c r="Z517" s="117"/>
      <c r="AA517" s="117"/>
      <c r="AB517" s="117"/>
      <c r="AC517" s="117"/>
      <c r="AK517" s="113"/>
      <c r="AL517" s="113"/>
      <c r="AM517" s="113"/>
      <c r="AN517" s="118"/>
      <c r="AO517" s="118"/>
      <c r="AP517" s="118"/>
      <c r="AQ517" s="118"/>
    </row>
    <row r="518" spans="2:43" ht="15.75" customHeight="1">
      <c r="B518" s="113"/>
      <c r="E518" s="114"/>
      <c r="Q518" s="116"/>
      <c r="Z518" s="117"/>
      <c r="AA518" s="117"/>
      <c r="AB518" s="117"/>
      <c r="AC518" s="117"/>
      <c r="AK518" s="113"/>
      <c r="AL518" s="113"/>
      <c r="AM518" s="113"/>
      <c r="AN518" s="118"/>
      <c r="AO518" s="118"/>
      <c r="AP518" s="118"/>
      <c r="AQ518" s="118"/>
    </row>
    <row r="519" spans="2:43" ht="15.75" customHeight="1">
      <c r="B519" s="113"/>
      <c r="E519" s="114"/>
      <c r="Q519" s="116"/>
      <c r="Z519" s="117"/>
      <c r="AA519" s="117"/>
      <c r="AB519" s="117"/>
      <c r="AC519" s="117"/>
      <c r="AK519" s="113"/>
      <c r="AL519" s="113"/>
      <c r="AM519" s="113"/>
      <c r="AN519" s="118"/>
      <c r="AO519" s="118"/>
      <c r="AP519" s="118"/>
      <c r="AQ519" s="118"/>
    </row>
    <row r="520" spans="2:43" ht="15.75" customHeight="1">
      <c r="B520" s="113"/>
      <c r="E520" s="114"/>
      <c r="Q520" s="116"/>
      <c r="Z520" s="117"/>
      <c r="AA520" s="117"/>
      <c r="AB520" s="117"/>
      <c r="AC520" s="117"/>
      <c r="AK520" s="113"/>
      <c r="AL520" s="113"/>
      <c r="AM520" s="113"/>
      <c r="AN520" s="118"/>
      <c r="AO520" s="118"/>
      <c r="AP520" s="118"/>
      <c r="AQ520" s="118"/>
    </row>
    <row r="521" spans="2:43" ht="15.75" customHeight="1">
      <c r="B521" s="113"/>
      <c r="E521" s="114"/>
      <c r="Q521" s="116"/>
      <c r="Z521" s="117"/>
      <c r="AA521" s="117"/>
      <c r="AB521" s="117"/>
      <c r="AC521" s="117"/>
      <c r="AK521" s="113"/>
      <c r="AL521" s="113"/>
      <c r="AM521" s="113"/>
      <c r="AN521" s="118"/>
      <c r="AO521" s="118"/>
      <c r="AP521" s="118"/>
      <c r="AQ521" s="118"/>
    </row>
    <row r="522" spans="2:43" ht="15.75" customHeight="1">
      <c r="B522" s="113"/>
      <c r="E522" s="114"/>
      <c r="Q522" s="116"/>
      <c r="Z522" s="117"/>
      <c r="AA522" s="117"/>
      <c r="AB522" s="117"/>
      <c r="AC522" s="117"/>
      <c r="AK522" s="113"/>
      <c r="AL522" s="113"/>
      <c r="AM522" s="113"/>
      <c r="AN522" s="118"/>
      <c r="AO522" s="118"/>
      <c r="AP522" s="118"/>
      <c r="AQ522" s="118"/>
    </row>
    <row r="523" spans="2:43" ht="15.75" customHeight="1">
      <c r="B523" s="113"/>
      <c r="E523" s="114"/>
      <c r="Q523" s="116"/>
      <c r="Z523" s="117"/>
      <c r="AA523" s="117"/>
      <c r="AB523" s="117"/>
      <c r="AC523" s="117"/>
      <c r="AK523" s="113"/>
      <c r="AL523" s="113"/>
      <c r="AM523" s="113"/>
      <c r="AN523" s="118"/>
      <c r="AO523" s="118"/>
      <c r="AP523" s="118"/>
      <c r="AQ523" s="118"/>
    </row>
    <row r="524" spans="2:43" ht="15.75" customHeight="1">
      <c r="B524" s="113"/>
      <c r="E524" s="114"/>
      <c r="Q524" s="116"/>
      <c r="Z524" s="117"/>
      <c r="AA524" s="117"/>
      <c r="AB524" s="117"/>
      <c r="AC524" s="117"/>
      <c r="AK524" s="113"/>
      <c r="AL524" s="113"/>
      <c r="AM524" s="113"/>
      <c r="AN524" s="118"/>
      <c r="AO524" s="118"/>
      <c r="AP524" s="118"/>
      <c r="AQ524" s="118"/>
    </row>
    <row r="525" spans="2:43" ht="15.75" customHeight="1">
      <c r="B525" s="113"/>
      <c r="E525" s="114"/>
      <c r="Q525" s="116"/>
      <c r="Z525" s="117"/>
      <c r="AA525" s="117"/>
      <c r="AB525" s="117"/>
      <c r="AC525" s="117"/>
      <c r="AK525" s="113"/>
      <c r="AL525" s="113"/>
      <c r="AM525" s="113"/>
      <c r="AN525" s="118"/>
      <c r="AO525" s="118"/>
      <c r="AP525" s="118"/>
      <c r="AQ525" s="118"/>
    </row>
    <row r="526" spans="2:43" ht="15.75" customHeight="1">
      <c r="B526" s="113"/>
      <c r="E526" s="114"/>
      <c r="Q526" s="116"/>
      <c r="Z526" s="117"/>
      <c r="AA526" s="117"/>
      <c r="AB526" s="117"/>
      <c r="AC526" s="117"/>
      <c r="AK526" s="113"/>
      <c r="AL526" s="113"/>
      <c r="AM526" s="113"/>
      <c r="AN526" s="118"/>
      <c r="AO526" s="118"/>
      <c r="AP526" s="118"/>
      <c r="AQ526" s="118"/>
    </row>
    <row r="527" spans="2:43" ht="15.75" customHeight="1">
      <c r="B527" s="113"/>
      <c r="E527" s="114"/>
      <c r="Q527" s="116"/>
      <c r="Z527" s="117"/>
      <c r="AA527" s="117"/>
      <c r="AB527" s="117"/>
      <c r="AC527" s="117"/>
      <c r="AK527" s="113"/>
      <c r="AL527" s="113"/>
      <c r="AM527" s="113"/>
      <c r="AN527" s="118"/>
      <c r="AO527" s="118"/>
      <c r="AP527" s="118"/>
      <c r="AQ527" s="118"/>
    </row>
    <row r="528" spans="2:43" ht="15.75" customHeight="1">
      <c r="B528" s="113"/>
      <c r="E528" s="114"/>
      <c r="Q528" s="116"/>
      <c r="Z528" s="117"/>
      <c r="AA528" s="117"/>
      <c r="AB528" s="117"/>
      <c r="AC528" s="117"/>
      <c r="AK528" s="113"/>
      <c r="AL528" s="113"/>
      <c r="AM528" s="113"/>
      <c r="AN528" s="118"/>
      <c r="AO528" s="118"/>
      <c r="AP528" s="118"/>
      <c r="AQ528" s="118"/>
    </row>
    <row r="529" spans="2:43" ht="15.75" customHeight="1">
      <c r="B529" s="113"/>
      <c r="E529" s="114"/>
      <c r="Q529" s="116"/>
      <c r="Z529" s="117"/>
      <c r="AA529" s="117"/>
      <c r="AB529" s="117"/>
      <c r="AC529" s="117"/>
      <c r="AK529" s="113"/>
      <c r="AL529" s="113"/>
      <c r="AM529" s="113"/>
      <c r="AN529" s="118"/>
      <c r="AO529" s="118"/>
      <c r="AP529" s="118"/>
      <c r="AQ529" s="118"/>
    </row>
    <row r="530" spans="2:43" ht="15.75" customHeight="1">
      <c r="B530" s="113"/>
      <c r="E530" s="114"/>
      <c r="Q530" s="116"/>
      <c r="Z530" s="117"/>
      <c r="AA530" s="117"/>
      <c r="AB530" s="117"/>
      <c r="AC530" s="117"/>
      <c r="AK530" s="113"/>
      <c r="AL530" s="113"/>
      <c r="AM530" s="113"/>
      <c r="AN530" s="118"/>
      <c r="AO530" s="118"/>
      <c r="AP530" s="118"/>
      <c r="AQ530" s="118"/>
    </row>
    <row r="531" spans="2:43" ht="15.75" customHeight="1">
      <c r="B531" s="113"/>
      <c r="E531" s="114"/>
      <c r="Q531" s="116"/>
      <c r="Z531" s="117"/>
      <c r="AA531" s="117"/>
      <c r="AB531" s="117"/>
      <c r="AC531" s="117"/>
      <c r="AK531" s="113"/>
      <c r="AL531" s="113"/>
      <c r="AM531" s="113"/>
      <c r="AN531" s="118"/>
      <c r="AO531" s="118"/>
      <c r="AP531" s="118"/>
      <c r="AQ531" s="118"/>
    </row>
    <row r="532" spans="2:43" ht="15.75" customHeight="1">
      <c r="B532" s="113"/>
      <c r="E532" s="114"/>
      <c r="Q532" s="116"/>
      <c r="Z532" s="117"/>
      <c r="AA532" s="117"/>
      <c r="AB532" s="117"/>
      <c r="AC532" s="117"/>
      <c r="AK532" s="113"/>
      <c r="AL532" s="113"/>
      <c r="AM532" s="113"/>
      <c r="AN532" s="118"/>
      <c r="AO532" s="118"/>
      <c r="AP532" s="118"/>
      <c r="AQ532" s="118"/>
    </row>
    <row r="533" spans="2:43" ht="15.75" customHeight="1">
      <c r="B533" s="113"/>
      <c r="E533" s="114"/>
      <c r="Q533" s="116"/>
      <c r="Z533" s="117"/>
      <c r="AA533" s="117"/>
      <c r="AB533" s="117"/>
      <c r="AC533" s="117"/>
      <c r="AK533" s="113"/>
      <c r="AL533" s="113"/>
      <c r="AM533" s="113"/>
      <c r="AN533" s="118"/>
      <c r="AO533" s="118"/>
      <c r="AP533" s="118"/>
      <c r="AQ533" s="118"/>
    </row>
    <row r="534" spans="2:43" ht="15.75" customHeight="1">
      <c r="B534" s="113"/>
      <c r="E534" s="114"/>
      <c r="Q534" s="116"/>
      <c r="Z534" s="117"/>
      <c r="AA534" s="117"/>
      <c r="AB534" s="117"/>
      <c r="AC534" s="117"/>
      <c r="AK534" s="113"/>
      <c r="AL534" s="113"/>
      <c r="AM534" s="113"/>
      <c r="AN534" s="118"/>
      <c r="AO534" s="118"/>
      <c r="AP534" s="118"/>
      <c r="AQ534" s="118"/>
    </row>
    <row r="535" spans="2:43" ht="15.75" customHeight="1">
      <c r="B535" s="113"/>
      <c r="E535" s="114"/>
      <c r="Q535" s="116"/>
      <c r="Z535" s="117"/>
      <c r="AA535" s="117"/>
      <c r="AB535" s="117"/>
      <c r="AC535" s="117"/>
      <c r="AK535" s="113"/>
      <c r="AL535" s="113"/>
      <c r="AM535" s="113"/>
      <c r="AN535" s="118"/>
      <c r="AO535" s="118"/>
      <c r="AP535" s="118"/>
      <c r="AQ535" s="118"/>
    </row>
    <row r="536" spans="2:43" ht="15.75" customHeight="1">
      <c r="B536" s="113"/>
      <c r="E536" s="114"/>
      <c r="Q536" s="116"/>
      <c r="Z536" s="117"/>
      <c r="AA536" s="117"/>
      <c r="AB536" s="117"/>
      <c r="AC536" s="117"/>
      <c r="AK536" s="113"/>
      <c r="AL536" s="113"/>
      <c r="AM536" s="113"/>
      <c r="AN536" s="118"/>
      <c r="AO536" s="118"/>
      <c r="AP536" s="118"/>
      <c r="AQ536" s="118"/>
    </row>
    <row r="537" spans="2:43" ht="15.75" customHeight="1">
      <c r="B537" s="113"/>
      <c r="E537" s="114"/>
      <c r="Q537" s="116"/>
      <c r="Z537" s="117"/>
      <c r="AA537" s="117"/>
      <c r="AB537" s="117"/>
      <c r="AC537" s="117"/>
      <c r="AK537" s="113"/>
      <c r="AL537" s="113"/>
      <c r="AM537" s="113"/>
      <c r="AN537" s="118"/>
      <c r="AO537" s="118"/>
      <c r="AP537" s="118"/>
      <c r="AQ537" s="118"/>
    </row>
    <row r="538" spans="2:43" ht="15.75" customHeight="1">
      <c r="B538" s="113"/>
      <c r="E538" s="114"/>
      <c r="Q538" s="116"/>
      <c r="Z538" s="117"/>
      <c r="AA538" s="117"/>
      <c r="AB538" s="117"/>
      <c r="AC538" s="117"/>
      <c r="AK538" s="113"/>
      <c r="AL538" s="113"/>
      <c r="AM538" s="113"/>
      <c r="AN538" s="118"/>
      <c r="AO538" s="118"/>
      <c r="AP538" s="118"/>
      <c r="AQ538" s="118"/>
    </row>
    <row r="539" spans="2:43" ht="15.75" customHeight="1">
      <c r="B539" s="113"/>
      <c r="E539" s="114"/>
      <c r="Q539" s="116"/>
      <c r="Z539" s="117"/>
      <c r="AA539" s="117"/>
      <c r="AB539" s="117"/>
      <c r="AC539" s="117"/>
      <c r="AK539" s="113"/>
      <c r="AL539" s="113"/>
      <c r="AM539" s="113"/>
      <c r="AN539" s="118"/>
      <c r="AO539" s="118"/>
      <c r="AP539" s="118"/>
      <c r="AQ539" s="118"/>
    </row>
    <row r="540" spans="2:43" ht="15.75" customHeight="1">
      <c r="B540" s="113"/>
      <c r="E540" s="114"/>
      <c r="Q540" s="116"/>
      <c r="Z540" s="117"/>
      <c r="AA540" s="117"/>
      <c r="AB540" s="117"/>
      <c r="AC540" s="117"/>
      <c r="AK540" s="113"/>
      <c r="AL540" s="113"/>
      <c r="AM540" s="113"/>
      <c r="AN540" s="118"/>
      <c r="AO540" s="118"/>
      <c r="AP540" s="118"/>
      <c r="AQ540" s="118"/>
    </row>
    <row r="541" spans="2:43" ht="15.75" customHeight="1">
      <c r="B541" s="113"/>
      <c r="E541" s="114"/>
      <c r="Q541" s="116"/>
      <c r="Z541" s="117"/>
      <c r="AA541" s="117"/>
      <c r="AB541" s="117"/>
      <c r="AC541" s="117"/>
      <c r="AK541" s="113"/>
      <c r="AL541" s="113"/>
      <c r="AM541" s="113"/>
      <c r="AN541" s="118"/>
      <c r="AO541" s="118"/>
      <c r="AP541" s="118"/>
      <c r="AQ541" s="118"/>
    </row>
    <row r="542" spans="2:43" ht="15.75" customHeight="1">
      <c r="B542" s="113"/>
      <c r="E542" s="114"/>
      <c r="Q542" s="116"/>
      <c r="Z542" s="117"/>
      <c r="AA542" s="117"/>
      <c r="AB542" s="117"/>
      <c r="AC542" s="117"/>
      <c r="AK542" s="113"/>
      <c r="AL542" s="113"/>
      <c r="AM542" s="113"/>
      <c r="AN542" s="118"/>
      <c r="AO542" s="118"/>
      <c r="AP542" s="118"/>
      <c r="AQ542" s="118"/>
    </row>
    <row r="543" spans="2:43" ht="15.75" customHeight="1">
      <c r="B543" s="113"/>
      <c r="E543" s="114"/>
      <c r="Q543" s="116"/>
      <c r="Z543" s="117"/>
      <c r="AA543" s="117"/>
      <c r="AB543" s="117"/>
      <c r="AC543" s="117"/>
      <c r="AK543" s="113"/>
      <c r="AL543" s="113"/>
      <c r="AM543" s="113"/>
      <c r="AN543" s="118"/>
      <c r="AO543" s="118"/>
      <c r="AP543" s="118"/>
      <c r="AQ543" s="118"/>
    </row>
    <row r="544" spans="2:43" ht="15.75" customHeight="1">
      <c r="B544" s="113"/>
      <c r="E544" s="114"/>
      <c r="Q544" s="116"/>
      <c r="Z544" s="117"/>
      <c r="AA544" s="117"/>
      <c r="AB544" s="117"/>
      <c r="AC544" s="117"/>
      <c r="AK544" s="113"/>
      <c r="AL544" s="113"/>
      <c r="AM544" s="113"/>
      <c r="AN544" s="118"/>
      <c r="AO544" s="118"/>
      <c r="AP544" s="118"/>
      <c r="AQ544" s="118"/>
    </row>
    <row r="545" spans="2:43" ht="15.75" customHeight="1">
      <c r="B545" s="113"/>
      <c r="E545" s="114"/>
      <c r="Q545" s="116"/>
      <c r="Z545" s="117"/>
      <c r="AA545" s="117"/>
      <c r="AB545" s="117"/>
      <c r="AC545" s="117"/>
      <c r="AK545" s="113"/>
      <c r="AL545" s="113"/>
      <c r="AM545" s="113"/>
      <c r="AN545" s="118"/>
      <c r="AO545" s="118"/>
      <c r="AP545" s="118"/>
      <c r="AQ545" s="118"/>
    </row>
    <row r="546" spans="2:43" ht="15.75" customHeight="1">
      <c r="B546" s="113"/>
      <c r="E546" s="114"/>
      <c r="Q546" s="116"/>
      <c r="Z546" s="117"/>
      <c r="AA546" s="117"/>
      <c r="AB546" s="117"/>
      <c r="AC546" s="117"/>
      <c r="AK546" s="113"/>
      <c r="AL546" s="113"/>
      <c r="AM546" s="113"/>
      <c r="AN546" s="118"/>
      <c r="AO546" s="118"/>
      <c r="AP546" s="118"/>
      <c r="AQ546" s="118"/>
    </row>
    <row r="547" spans="2:43" ht="15.75" customHeight="1">
      <c r="B547" s="113"/>
      <c r="E547" s="114"/>
      <c r="Q547" s="116"/>
      <c r="Z547" s="117"/>
      <c r="AA547" s="117"/>
      <c r="AB547" s="117"/>
      <c r="AC547" s="117"/>
      <c r="AK547" s="113"/>
      <c r="AL547" s="113"/>
      <c r="AM547" s="113"/>
      <c r="AN547" s="118"/>
      <c r="AO547" s="118"/>
      <c r="AP547" s="118"/>
      <c r="AQ547" s="118"/>
    </row>
    <row r="548" spans="2:43" ht="15.75" customHeight="1">
      <c r="B548" s="113"/>
      <c r="E548" s="114"/>
      <c r="Q548" s="116"/>
      <c r="Z548" s="117"/>
      <c r="AA548" s="117"/>
      <c r="AB548" s="117"/>
      <c r="AC548" s="117"/>
      <c r="AK548" s="113"/>
      <c r="AL548" s="113"/>
      <c r="AM548" s="113"/>
      <c r="AN548" s="118"/>
      <c r="AO548" s="118"/>
      <c r="AP548" s="118"/>
      <c r="AQ548" s="118"/>
    </row>
    <row r="549" spans="2:43" ht="15.75" customHeight="1">
      <c r="B549" s="113"/>
      <c r="E549" s="114"/>
      <c r="Q549" s="116"/>
      <c r="Z549" s="117"/>
      <c r="AA549" s="117"/>
      <c r="AB549" s="117"/>
      <c r="AC549" s="117"/>
      <c r="AK549" s="113"/>
      <c r="AL549" s="113"/>
      <c r="AM549" s="113"/>
      <c r="AN549" s="118"/>
      <c r="AO549" s="118"/>
      <c r="AP549" s="118"/>
      <c r="AQ549" s="118"/>
    </row>
    <row r="550" spans="2:43" ht="15.75" customHeight="1">
      <c r="B550" s="113"/>
      <c r="E550" s="114"/>
      <c r="Q550" s="116"/>
      <c r="Z550" s="117"/>
      <c r="AA550" s="117"/>
      <c r="AB550" s="117"/>
      <c r="AC550" s="117"/>
      <c r="AK550" s="113"/>
      <c r="AL550" s="113"/>
      <c r="AM550" s="113"/>
      <c r="AN550" s="118"/>
      <c r="AO550" s="118"/>
      <c r="AP550" s="118"/>
      <c r="AQ550" s="118"/>
    </row>
    <row r="551" spans="2:43" ht="15.75" customHeight="1">
      <c r="B551" s="113"/>
      <c r="E551" s="114"/>
      <c r="Q551" s="116"/>
      <c r="Z551" s="117"/>
      <c r="AA551" s="117"/>
      <c r="AB551" s="117"/>
      <c r="AC551" s="117"/>
      <c r="AK551" s="113"/>
      <c r="AL551" s="113"/>
      <c r="AM551" s="113"/>
      <c r="AN551" s="118"/>
      <c r="AO551" s="118"/>
      <c r="AP551" s="118"/>
      <c r="AQ551" s="118"/>
    </row>
    <row r="552" spans="2:43" ht="15.75" customHeight="1">
      <c r="B552" s="113"/>
      <c r="E552" s="114"/>
      <c r="Q552" s="116"/>
      <c r="Z552" s="117"/>
      <c r="AA552" s="117"/>
      <c r="AB552" s="117"/>
      <c r="AC552" s="117"/>
      <c r="AK552" s="113"/>
      <c r="AL552" s="113"/>
      <c r="AM552" s="113"/>
      <c r="AN552" s="118"/>
      <c r="AO552" s="118"/>
      <c r="AP552" s="118"/>
      <c r="AQ552" s="118"/>
    </row>
    <row r="553" spans="2:43" ht="15.75" customHeight="1">
      <c r="B553" s="113"/>
      <c r="E553" s="114"/>
      <c r="Q553" s="116"/>
      <c r="Z553" s="117"/>
      <c r="AA553" s="117"/>
      <c r="AB553" s="117"/>
      <c r="AC553" s="117"/>
      <c r="AK553" s="113"/>
      <c r="AL553" s="113"/>
      <c r="AM553" s="113"/>
      <c r="AN553" s="118"/>
      <c r="AO553" s="118"/>
      <c r="AP553" s="118"/>
      <c r="AQ553" s="118"/>
    </row>
    <row r="554" spans="2:43" ht="15.75" customHeight="1">
      <c r="B554" s="113"/>
      <c r="E554" s="114"/>
      <c r="Q554" s="116"/>
      <c r="Z554" s="117"/>
      <c r="AA554" s="117"/>
      <c r="AB554" s="117"/>
      <c r="AC554" s="117"/>
      <c r="AK554" s="113"/>
      <c r="AL554" s="113"/>
      <c r="AM554" s="113"/>
      <c r="AN554" s="118"/>
      <c r="AO554" s="118"/>
      <c r="AP554" s="118"/>
      <c r="AQ554" s="118"/>
    </row>
    <row r="555" spans="2:43" ht="15.75" customHeight="1">
      <c r="B555" s="113"/>
      <c r="E555" s="114"/>
      <c r="Q555" s="116"/>
      <c r="Z555" s="117"/>
      <c r="AA555" s="117"/>
      <c r="AB555" s="117"/>
      <c r="AC555" s="117"/>
      <c r="AK555" s="113"/>
      <c r="AL555" s="113"/>
      <c r="AM555" s="113"/>
      <c r="AN555" s="118"/>
      <c r="AO555" s="118"/>
      <c r="AP555" s="118"/>
      <c r="AQ555" s="118"/>
    </row>
    <row r="556" spans="2:43" ht="15.75" customHeight="1">
      <c r="B556" s="113"/>
      <c r="E556" s="114"/>
      <c r="Q556" s="116"/>
      <c r="Z556" s="117"/>
      <c r="AA556" s="117"/>
      <c r="AB556" s="117"/>
      <c r="AC556" s="117"/>
      <c r="AK556" s="113"/>
      <c r="AL556" s="113"/>
      <c r="AM556" s="113"/>
      <c r="AN556" s="118"/>
      <c r="AO556" s="118"/>
      <c r="AP556" s="118"/>
      <c r="AQ556" s="118"/>
    </row>
    <row r="557" spans="2:43" ht="15.75" customHeight="1">
      <c r="B557" s="113"/>
      <c r="E557" s="114"/>
      <c r="Q557" s="116"/>
      <c r="Z557" s="117"/>
      <c r="AA557" s="117"/>
      <c r="AB557" s="117"/>
      <c r="AC557" s="117"/>
      <c r="AK557" s="113"/>
      <c r="AL557" s="113"/>
      <c r="AM557" s="113"/>
      <c r="AN557" s="118"/>
      <c r="AO557" s="118"/>
      <c r="AP557" s="118"/>
      <c r="AQ557" s="118"/>
    </row>
    <row r="558" spans="2:43" ht="15.75" customHeight="1">
      <c r="B558" s="113"/>
      <c r="E558" s="114"/>
      <c r="Q558" s="116"/>
      <c r="Z558" s="117"/>
      <c r="AA558" s="117"/>
      <c r="AB558" s="117"/>
      <c r="AC558" s="117"/>
      <c r="AK558" s="113"/>
      <c r="AL558" s="113"/>
      <c r="AM558" s="113"/>
      <c r="AN558" s="118"/>
      <c r="AO558" s="118"/>
      <c r="AP558" s="118"/>
      <c r="AQ558" s="118"/>
    </row>
    <row r="559" spans="2:43" ht="15.75" customHeight="1">
      <c r="B559" s="113"/>
      <c r="E559" s="114"/>
      <c r="Q559" s="116"/>
      <c r="Z559" s="117"/>
      <c r="AA559" s="117"/>
      <c r="AB559" s="117"/>
      <c r="AC559" s="117"/>
      <c r="AK559" s="113"/>
      <c r="AL559" s="113"/>
      <c r="AM559" s="113"/>
      <c r="AN559" s="118"/>
      <c r="AO559" s="118"/>
      <c r="AP559" s="118"/>
      <c r="AQ559" s="118"/>
    </row>
    <row r="560" spans="2:43" ht="15.75" customHeight="1">
      <c r="B560" s="113"/>
      <c r="E560" s="114"/>
      <c r="Q560" s="116"/>
      <c r="Z560" s="117"/>
      <c r="AA560" s="117"/>
      <c r="AB560" s="117"/>
      <c r="AC560" s="117"/>
      <c r="AK560" s="113"/>
      <c r="AL560" s="113"/>
      <c r="AM560" s="113"/>
      <c r="AN560" s="118"/>
      <c r="AO560" s="118"/>
      <c r="AP560" s="118"/>
      <c r="AQ560" s="118"/>
    </row>
    <row r="561" spans="2:43" ht="15.75" customHeight="1">
      <c r="B561" s="113"/>
      <c r="E561" s="114"/>
      <c r="Q561" s="116"/>
      <c r="Z561" s="117"/>
      <c r="AA561" s="117"/>
      <c r="AB561" s="117"/>
      <c r="AC561" s="117"/>
      <c r="AK561" s="113"/>
      <c r="AL561" s="113"/>
      <c r="AM561" s="113"/>
      <c r="AN561" s="118"/>
      <c r="AO561" s="118"/>
      <c r="AP561" s="118"/>
      <c r="AQ561" s="118"/>
    </row>
    <row r="562" spans="2:43" ht="15.75" customHeight="1">
      <c r="B562" s="113"/>
      <c r="E562" s="114"/>
      <c r="Q562" s="116"/>
      <c r="Z562" s="117"/>
      <c r="AA562" s="117"/>
      <c r="AB562" s="117"/>
      <c r="AC562" s="117"/>
      <c r="AK562" s="113"/>
      <c r="AL562" s="113"/>
      <c r="AM562" s="113"/>
      <c r="AN562" s="118"/>
      <c r="AO562" s="118"/>
      <c r="AP562" s="118"/>
      <c r="AQ562" s="118"/>
    </row>
    <row r="563" spans="2:43" ht="15.75" customHeight="1">
      <c r="B563" s="113"/>
      <c r="E563" s="114"/>
      <c r="Q563" s="116"/>
      <c r="Z563" s="117"/>
      <c r="AA563" s="117"/>
      <c r="AB563" s="117"/>
      <c r="AC563" s="117"/>
      <c r="AK563" s="113"/>
      <c r="AL563" s="113"/>
      <c r="AM563" s="113"/>
      <c r="AN563" s="118"/>
      <c r="AO563" s="118"/>
      <c r="AP563" s="118"/>
      <c r="AQ563" s="118"/>
    </row>
    <row r="564" spans="2:43" ht="15.75" customHeight="1">
      <c r="B564" s="113"/>
      <c r="E564" s="114"/>
      <c r="Q564" s="116"/>
      <c r="Z564" s="117"/>
      <c r="AA564" s="117"/>
      <c r="AB564" s="117"/>
      <c r="AC564" s="117"/>
      <c r="AK564" s="113"/>
      <c r="AL564" s="113"/>
      <c r="AM564" s="113"/>
      <c r="AN564" s="118"/>
      <c r="AO564" s="118"/>
      <c r="AP564" s="118"/>
      <c r="AQ564" s="118"/>
    </row>
    <row r="565" spans="2:43" ht="15.75" customHeight="1">
      <c r="B565" s="113"/>
      <c r="E565" s="114"/>
      <c r="Q565" s="116"/>
      <c r="Z565" s="117"/>
      <c r="AA565" s="117"/>
      <c r="AB565" s="117"/>
      <c r="AC565" s="117"/>
      <c r="AK565" s="113"/>
      <c r="AL565" s="113"/>
      <c r="AM565" s="113"/>
      <c r="AN565" s="118"/>
      <c r="AO565" s="118"/>
      <c r="AP565" s="118"/>
      <c r="AQ565" s="118"/>
    </row>
    <row r="566" spans="2:43" ht="15.75" customHeight="1">
      <c r="B566" s="113"/>
      <c r="E566" s="114"/>
      <c r="Q566" s="116"/>
      <c r="Z566" s="117"/>
      <c r="AA566" s="117"/>
      <c r="AB566" s="117"/>
      <c r="AC566" s="117"/>
      <c r="AK566" s="113"/>
      <c r="AL566" s="113"/>
      <c r="AM566" s="113"/>
      <c r="AN566" s="118"/>
      <c r="AO566" s="118"/>
      <c r="AP566" s="118"/>
      <c r="AQ566" s="118"/>
    </row>
    <row r="567" spans="2:43" ht="15.75" customHeight="1">
      <c r="B567" s="113"/>
      <c r="E567" s="114"/>
      <c r="Q567" s="116"/>
      <c r="Z567" s="117"/>
      <c r="AA567" s="117"/>
      <c r="AB567" s="117"/>
      <c r="AC567" s="117"/>
      <c r="AK567" s="113"/>
      <c r="AL567" s="113"/>
      <c r="AM567" s="113"/>
      <c r="AN567" s="118"/>
      <c r="AO567" s="118"/>
      <c r="AP567" s="118"/>
      <c r="AQ567" s="118"/>
    </row>
    <row r="568" spans="2:43" ht="15.75" customHeight="1">
      <c r="B568" s="113"/>
      <c r="E568" s="114"/>
      <c r="Q568" s="116"/>
      <c r="Z568" s="117"/>
      <c r="AA568" s="117"/>
      <c r="AB568" s="117"/>
      <c r="AC568" s="117"/>
      <c r="AK568" s="113"/>
      <c r="AL568" s="113"/>
      <c r="AM568" s="113"/>
      <c r="AN568" s="118"/>
      <c r="AO568" s="118"/>
      <c r="AP568" s="118"/>
      <c r="AQ568" s="118"/>
    </row>
    <row r="569" spans="2:43" ht="15.75" customHeight="1">
      <c r="B569" s="113"/>
      <c r="E569" s="114"/>
      <c r="Q569" s="116"/>
      <c r="Z569" s="117"/>
      <c r="AA569" s="117"/>
      <c r="AB569" s="117"/>
      <c r="AC569" s="117"/>
      <c r="AK569" s="113"/>
      <c r="AL569" s="113"/>
      <c r="AM569" s="113"/>
      <c r="AN569" s="118"/>
      <c r="AO569" s="118"/>
      <c r="AP569" s="118"/>
      <c r="AQ569" s="118"/>
    </row>
    <row r="570" spans="2:43" ht="15.75" customHeight="1">
      <c r="B570" s="113"/>
      <c r="E570" s="114"/>
      <c r="Q570" s="116"/>
      <c r="Z570" s="117"/>
      <c r="AA570" s="117"/>
      <c r="AB570" s="117"/>
      <c r="AC570" s="117"/>
      <c r="AK570" s="113"/>
      <c r="AL570" s="113"/>
      <c r="AM570" s="113"/>
      <c r="AN570" s="118"/>
      <c r="AO570" s="118"/>
      <c r="AP570" s="118"/>
      <c r="AQ570" s="118"/>
    </row>
    <row r="571" spans="2:43" ht="15.75" customHeight="1">
      <c r="B571" s="113"/>
      <c r="E571" s="114"/>
      <c r="Q571" s="116"/>
      <c r="Z571" s="117"/>
      <c r="AA571" s="117"/>
      <c r="AB571" s="117"/>
      <c r="AC571" s="117"/>
      <c r="AK571" s="113"/>
      <c r="AL571" s="113"/>
      <c r="AM571" s="113"/>
      <c r="AN571" s="118"/>
      <c r="AO571" s="118"/>
      <c r="AP571" s="118"/>
      <c r="AQ571" s="118"/>
    </row>
    <row r="572" spans="2:43" ht="15.75" customHeight="1">
      <c r="B572" s="113"/>
      <c r="E572" s="114"/>
      <c r="Q572" s="116"/>
      <c r="Z572" s="117"/>
      <c r="AA572" s="117"/>
      <c r="AB572" s="117"/>
      <c r="AC572" s="117"/>
      <c r="AK572" s="113"/>
      <c r="AL572" s="113"/>
      <c r="AM572" s="113"/>
      <c r="AN572" s="118"/>
      <c r="AO572" s="118"/>
      <c r="AP572" s="118"/>
      <c r="AQ572" s="118"/>
    </row>
    <row r="573" spans="2:43" ht="15.75" customHeight="1">
      <c r="B573" s="113"/>
      <c r="E573" s="114"/>
      <c r="Q573" s="116"/>
      <c r="Z573" s="117"/>
      <c r="AA573" s="117"/>
      <c r="AB573" s="117"/>
      <c r="AC573" s="117"/>
      <c r="AK573" s="113"/>
      <c r="AL573" s="113"/>
      <c r="AM573" s="113"/>
      <c r="AN573" s="118"/>
      <c r="AO573" s="118"/>
      <c r="AP573" s="118"/>
      <c r="AQ573" s="118"/>
    </row>
    <row r="574" spans="2:43" ht="15.75" customHeight="1">
      <c r="B574" s="113"/>
      <c r="E574" s="114"/>
      <c r="Q574" s="116"/>
      <c r="Z574" s="117"/>
      <c r="AA574" s="117"/>
      <c r="AB574" s="117"/>
      <c r="AC574" s="117"/>
      <c r="AK574" s="113"/>
      <c r="AL574" s="113"/>
      <c r="AM574" s="113"/>
      <c r="AN574" s="118"/>
      <c r="AO574" s="118"/>
      <c r="AP574" s="118"/>
      <c r="AQ574" s="118"/>
    </row>
    <row r="575" spans="2:43" ht="15.75" customHeight="1">
      <c r="B575" s="113"/>
      <c r="E575" s="114"/>
      <c r="Q575" s="116"/>
      <c r="Z575" s="117"/>
      <c r="AA575" s="117"/>
      <c r="AB575" s="117"/>
      <c r="AC575" s="117"/>
      <c r="AK575" s="113"/>
      <c r="AL575" s="113"/>
      <c r="AM575" s="113"/>
      <c r="AN575" s="118"/>
      <c r="AO575" s="118"/>
      <c r="AP575" s="118"/>
      <c r="AQ575" s="118"/>
    </row>
    <row r="576" spans="2:43" ht="15.75" customHeight="1">
      <c r="B576" s="113"/>
      <c r="E576" s="114"/>
      <c r="Q576" s="116"/>
      <c r="Z576" s="117"/>
      <c r="AA576" s="117"/>
      <c r="AB576" s="117"/>
      <c r="AC576" s="117"/>
      <c r="AK576" s="113"/>
      <c r="AL576" s="113"/>
      <c r="AM576" s="113"/>
      <c r="AN576" s="118"/>
      <c r="AO576" s="118"/>
      <c r="AP576" s="118"/>
      <c r="AQ576" s="118"/>
    </row>
    <row r="577" spans="2:43" ht="15.75" customHeight="1">
      <c r="B577" s="113"/>
      <c r="E577" s="114"/>
      <c r="Q577" s="116"/>
      <c r="Z577" s="117"/>
      <c r="AA577" s="117"/>
      <c r="AB577" s="117"/>
      <c r="AC577" s="117"/>
      <c r="AK577" s="113"/>
      <c r="AL577" s="113"/>
      <c r="AM577" s="113"/>
      <c r="AN577" s="118"/>
      <c r="AO577" s="118"/>
      <c r="AP577" s="118"/>
      <c r="AQ577" s="118"/>
    </row>
    <row r="578" spans="2:43" ht="15.75" customHeight="1">
      <c r="B578" s="113"/>
      <c r="E578" s="114"/>
      <c r="Q578" s="116"/>
      <c r="Z578" s="117"/>
      <c r="AA578" s="117"/>
      <c r="AB578" s="117"/>
      <c r="AC578" s="117"/>
      <c r="AK578" s="113"/>
      <c r="AL578" s="113"/>
      <c r="AM578" s="113"/>
      <c r="AN578" s="118"/>
      <c r="AO578" s="118"/>
      <c r="AP578" s="118"/>
      <c r="AQ578" s="118"/>
    </row>
    <row r="579" spans="2:43" ht="15.75" customHeight="1">
      <c r="B579" s="113"/>
      <c r="E579" s="114"/>
      <c r="Q579" s="116"/>
      <c r="Z579" s="117"/>
      <c r="AA579" s="117"/>
      <c r="AB579" s="117"/>
      <c r="AC579" s="117"/>
      <c r="AK579" s="113"/>
      <c r="AL579" s="113"/>
      <c r="AM579" s="113"/>
      <c r="AN579" s="118"/>
      <c r="AO579" s="118"/>
      <c r="AP579" s="118"/>
      <c r="AQ579" s="118"/>
    </row>
    <row r="580" spans="2:43" ht="15.75" customHeight="1">
      <c r="B580" s="113"/>
      <c r="E580" s="114"/>
      <c r="Q580" s="116"/>
      <c r="Z580" s="117"/>
      <c r="AA580" s="117"/>
      <c r="AB580" s="117"/>
      <c r="AC580" s="117"/>
      <c r="AK580" s="113"/>
      <c r="AL580" s="113"/>
      <c r="AM580" s="113"/>
      <c r="AN580" s="118"/>
      <c r="AO580" s="118"/>
      <c r="AP580" s="118"/>
      <c r="AQ580" s="118"/>
    </row>
    <row r="581" spans="2:43" ht="15.75" customHeight="1">
      <c r="B581" s="113"/>
      <c r="E581" s="114"/>
      <c r="Q581" s="116"/>
      <c r="Z581" s="117"/>
      <c r="AA581" s="117"/>
      <c r="AB581" s="117"/>
      <c r="AC581" s="117"/>
      <c r="AK581" s="113"/>
      <c r="AL581" s="113"/>
      <c r="AM581" s="113"/>
      <c r="AN581" s="118"/>
      <c r="AO581" s="118"/>
      <c r="AP581" s="118"/>
      <c r="AQ581" s="118"/>
    </row>
    <row r="582" spans="2:43" ht="15.75" customHeight="1">
      <c r="B582" s="113"/>
      <c r="E582" s="114"/>
      <c r="Q582" s="116"/>
      <c r="Z582" s="117"/>
      <c r="AA582" s="117"/>
      <c r="AB582" s="117"/>
      <c r="AC582" s="117"/>
      <c r="AK582" s="113"/>
      <c r="AL582" s="113"/>
      <c r="AM582" s="113"/>
      <c r="AN582" s="118"/>
      <c r="AO582" s="118"/>
      <c r="AP582" s="118"/>
      <c r="AQ582" s="118"/>
    </row>
    <row r="583" spans="2:43" ht="15.75" customHeight="1">
      <c r="B583" s="113"/>
      <c r="E583" s="114"/>
      <c r="Q583" s="116"/>
      <c r="Z583" s="117"/>
      <c r="AA583" s="117"/>
      <c r="AB583" s="117"/>
      <c r="AC583" s="117"/>
      <c r="AK583" s="113"/>
      <c r="AL583" s="113"/>
      <c r="AM583" s="113"/>
      <c r="AN583" s="118"/>
      <c r="AO583" s="118"/>
      <c r="AP583" s="118"/>
      <c r="AQ583" s="118"/>
    </row>
    <row r="584" spans="2:43" ht="15.75" customHeight="1">
      <c r="B584" s="113"/>
      <c r="E584" s="114"/>
      <c r="Q584" s="116"/>
      <c r="Z584" s="117"/>
      <c r="AA584" s="117"/>
      <c r="AB584" s="117"/>
      <c r="AC584" s="117"/>
      <c r="AK584" s="113"/>
      <c r="AL584" s="113"/>
      <c r="AM584" s="113"/>
      <c r="AN584" s="118"/>
      <c r="AO584" s="118"/>
      <c r="AP584" s="118"/>
      <c r="AQ584" s="118"/>
    </row>
    <row r="585" spans="2:43" ht="15.75" customHeight="1">
      <c r="B585" s="113"/>
      <c r="E585" s="114"/>
      <c r="Q585" s="116"/>
      <c r="Z585" s="117"/>
      <c r="AA585" s="117"/>
      <c r="AB585" s="117"/>
      <c r="AC585" s="117"/>
      <c r="AK585" s="113"/>
      <c r="AL585" s="113"/>
      <c r="AM585" s="113"/>
      <c r="AN585" s="118"/>
      <c r="AO585" s="118"/>
      <c r="AP585" s="118"/>
      <c r="AQ585" s="118"/>
    </row>
    <row r="586" spans="2:43" ht="15.75" customHeight="1">
      <c r="B586" s="113"/>
      <c r="E586" s="114"/>
      <c r="Q586" s="116"/>
      <c r="Z586" s="117"/>
      <c r="AA586" s="117"/>
      <c r="AB586" s="117"/>
      <c r="AC586" s="117"/>
      <c r="AK586" s="113"/>
      <c r="AL586" s="113"/>
      <c r="AM586" s="113"/>
      <c r="AN586" s="118"/>
      <c r="AO586" s="118"/>
      <c r="AP586" s="118"/>
      <c r="AQ586" s="118"/>
    </row>
    <row r="587" spans="2:43" ht="15.75" customHeight="1">
      <c r="B587" s="113"/>
      <c r="E587" s="114"/>
      <c r="Q587" s="116"/>
      <c r="Z587" s="117"/>
      <c r="AA587" s="117"/>
      <c r="AB587" s="117"/>
      <c r="AC587" s="117"/>
      <c r="AK587" s="113"/>
      <c r="AL587" s="113"/>
      <c r="AM587" s="113"/>
      <c r="AN587" s="118"/>
      <c r="AO587" s="118"/>
      <c r="AP587" s="118"/>
      <c r="AQ587" s="118"/>
    </row>
    <row r="588" spans="2:43" ht="15.75" customHeight="1">
      <c r="B588" s="113"/>
      <c r="E588" s="114"/>
      <c r="Q588" s="116"/>
      <c r="Z588" s="117"/>
      <c r="AA588" s="117"/>
      <c r="AB588" s="117"/>
      <c r="AC588" s="117"/>
      <c r="AK588" s="113"/>
      <c r="AL588" s="113"/>
      <c r="AM588" s="113"/>
      <c r="AN588" s="118"/>
      <c r="AO588" s="118"/>
      <c r="AP588" s="118"/>
      <c r="AQ588" s="118"/>
    </row>
    <row r="589" spans="2:43" ht="15.75" customHeight="1">
      <c r="B589" s="113"/>
      <c r="E589" s="114"/>
      <c r="Q589" s="116"/>
      <c r="Z589" s="117"/>
      <c r="AA589" s="117"/>
      <c r="AB589" s="117"/>
      <c r="AC589" s="117"/>
      <c r="AK589" s="113"/>
      <c r="AL589" s="113"/>
      <c r="AM589" s="113"/>
      <c r="AN589" s="118"/>
      <c r="AO589" s="118"/>
      <c r="AP589" s="118"/>
      <c r="AQ589" s="118"/>
    </row>
    <row r="590" spans="2:43" ht="15.75" customHeight="1">
      <c r="B590" s="113"/>
      <c r="E590" s="114"/>
      <c r="Q590" s="116"/>
      <c r="Z590" s="117"/>
      <c r="AA590" s="117"/>
      <c r="AB590" s="117"/>
      <c r="AC590" s="117"/>
      <c r="AK590" s="113"/>
      <c r="AL590" s="113"/>
      <c r="AM590" s="113"/>
      <c r="AN590" s="118"/>
      <c r="AO590" s="118"/>
      <c r="AP590" s="118"/>
      <c r="AQ590" s="118"/>
    </row>
    <row r="591" spans="2:43" ht="15.75" customHeight="1">
      <c r="B591" s="113"/>
      <c r="E591" s="114"/>
      <c r="Q591" s="116"/>
      <c r="Z591" s="117"/>
      <c r="AA591" s="117"/>
      <c r="AB591" s="117"/>
      <c r="AC591" s="117"/>
      <c r="AK591" s="113"/>
      <c r="AL591" s="113"/>
      <c r="AM591" s="113"/>
      <c r="AN591" s="118"/>
      <c r="AO591" s="118"/>
      <c r="AP591" s="118"/>
      <c r="AQ591" s="118"/>
    </row>
    <row r="592" spans="2:43" ht="15.75" customHeight="1">
      <c r="B592" s="113"/>
      <c r="E592" s="114"/>
      <c r="Q592" s="116"/>
      <c r="Z592" s="117"/>
      <c r="AA592" s="117"/>
      <c r="AB592" s="117"/>
      <c r="AC592" s="117"/>
      <c r="AK592" s="113"/>
      <c r="AL592" s="113"/>
      <c r="AM592" s="113"/>
      <c r="AN592" s="118"/>
      <c r="AO592" s="118"/>
      <c r="AP592" s="118"/>
      <c r="AQ592" s="118"/>
    </row>
    <row r="593" spans="2:43" ht="15.75" customHeight="1">
      <c r="B593" s="113"/>
      <c r="E593" s="114"/>
      <c r="Q593" s="116"/>
      <c r="Z593" s="117"/>
      <c r="AA593" s="117"/>
      <c r="AB593" s="117"/>
      <c r="AC593" s="117"/>
      <c r="AK593" s="113"/>
      <c r="AL593" s="113"/>
      <c r="AM593" s="113"/>
      <c r="AN593" s="118"/>
      <c r="AO593" s="118"/>
      <c r="AP593" s="118"/>
      <c r="AQ593" s="118"/>
    </row>
    <row r="594" spans="2:43" ht="15.75" customHeight="1">
      <c r="B594" s="113"/>
      <c r="E594" s="114"/>
      <c r="Q594" s="116"/>
      <c r="Z594" s="117"/>
      <c r="AA594" s="117"/>
      <c r="AB594" s="117"/>
      <c r="AC594" s="117"/>
      <c r="AK594" s="113"/>
      <c r="AL594" s="113"/>
      <c r="AM594" s="113"/>
      <c r="AN594" s="118"/>
      <c r="AO594" s="118"/>
      <c r="AP594" s="118"/>
      <c r="AQ594" s="118"/>
    </row>
    <row r="595" spans="2:43" ht="15.75" customHeight="1">
      <c r="B595" s="113"/>
      <c r="E595" s="114"/>
      <c r="Q595" s="116"/>
      <c r="Z595" s="117"/>
      <c r="AA595" s="117"/>
      <c r="AB595" s="117"/>
      <c r="AC595" s="117"/>
      <c r="AK595" s="113"/>
      <c r="AL595" s="113"/>
      <c r="AM595" s="113"/>
      <c r="AN595" s="118"/>
      <c r="AO595" s="118"/>
      <c r="AP595" s="118"/>
      <c r="AQ595" s="118"/>
    </row>
    <row r="596" spans="2:43" ht="15.75" customHeight="1">
      <c r="B596" s="113"/>
      <c r="E596" s="114"/>
      <c r="Q596" s="116"/>
      <c r="Z596" s="117"/>
      <c r="AA596" s="117"/>
      <c r="AB596" s="117"/>
      <c r="AC596" s="117"/>
      <c r="AK596" s="113"/>
      <c r="AL596" s="113"/>
      <c r="AM596" s="113"/>
      <c r="AN596" s="118"/>
      <c r="AO596" s="118"/>
      <c r="AP596" s="118"/>
      <c r="AQ596" s="118"/>
    </row>
    <row r="597" spans="2:43" ht="15.75" customHeight="1">
      <c r="B597" s="113"/>
      <c r="E597" s="114"/>
      <c r="Q597" s="116"/>
      <c r="Z597" s="117"/>
      <c r="AA597" s="117"/>
      <c r="AB597" s="117"/>
      <c r="AC597" s="117"/>
      <c r="AK597" s="113"/>
      <c r="AL597" s="113"/>
      <c r="AM597" s="113"/>
      <c r="AN597" s="118"/>
      <c r="AO597" s="118"/>
      <c r="AP597" s="118"/>
      <c r="AQ597" s="118"/>
    </row>
    <row r="598" spans="2:43" ht="15.75" customHeight="1">
      <c r="B598" s="113"/>
      <c r="E598" s="114"/>
      <c r="Q598" s="116"/>
      <c r="Z598" s="117"/>
      <c r="AA598" s="117"/>
      <c r="AB598" s="117"/>
      <c r="AC598" s="117"/>
      <c r="AK598" s="113"/>
      <c r="AL598" s="113"/>
      <c r="AM598" s="113"/>
      <c r="AN598" s="118"/>
      <c r="AO598" s="118"/>
      <c r="AP598" s="118"/>
      <c r="AQ598" s="118"/>
    </row>
    <row r="599" spans="2:43" ht="15.75" customHeight="1">
      <c r="B599" s="113"/>
      <c r="E599" s="114"/>
      <c r="Q599" s="116"/>
      <c r="Z599" s="117"/>
      <c r="AA599" s="117"/>
      <c r="AB599" s="117"/>
      <c r="AC599" s="117"/>
      <c r="AK599" s="113"/>
      <c r="AL599" s="113"/>
      <c r="AM599" s="113"/>
      <c r="AN599" s="118"/>
      <c r="AO599" s="118"/>
      <c r="AP599" s="118"/>
      <c r="AQ599" s="118"/>
    </row>
    <row r="600" spans="2:43" ht="15.75" customHeight="1">
      <c r="B600" s="113"/>
      <c r="E600" s="114"/>
      <c r="Q600" s="116"/>
      <c r="Z600" s="117"/>
      <c r="AA600" s="117"/>
      <c r="AB600" s="117"/>
      <c r="AC600" s="117"/>
      <c r="AK600" s="113"/>
      <c r="AL600" s="113"/>
      <c r="AM600" s="113"/>
      <c r="AN600" s="118"/>
      <c r="AO600" s="118"/>
      <c r="AP600" s="118"/>
      <c r="AQ600" s="118"/>
    </row>
    <row r="601" spans="2:43" ht="15.75" customHeight="1">
      <c r="B601" s="113"/>
      <c r="E601" s="114"/>
      <c r="Q601" s="116"/>
      <c r="Z601" s="117"/>
      <c r="AA601" s="117"/>
      <c r="AB601" s="117"/>
      <c r="AC601" s="117"/>
      <c r="AK601" s="113"/>
      <c r="AL601" s="113"/>
      <c r="AM601" s="113"/>
      <c r="AN601" s="118"/>
      <c r="AO601" s="118"/>
      <c r="AP601" s="118"/>
      <c r="AQ601" s="118"/>
    </row>
    <row r="602" spans="2:43" ht="15.75" customHeight="1">
      <c r="B602" s="113"/>
      <c r="E602" s="114"/>
      <c r="Q602" s="116"/>
      <c r="Z602" s="117"/>
      <c r="AA602" s="117"/>
      <c r="AB602" s="117"/>
      <c r="AC602" s="117"/>
      <c r="AK602" s="113"/>
      <c r="AL602" s="113"/>
      <c r="AM602" s="113"/>
      <c r="AN602" s="118"/>
      <c r="AO602" s="118"/>
      <c r="AP602" s="118"/>
      <c r="AQ602" s="118"/>
    </row>
    <row r="603" spans="2:43" ht="15.75" customHeight="1">
      <c r="B603" s="113"/>
      <c r="E603" s="114"/>
      <c r="Q603" s="116"/>
      <c r="Z603" s="117"/>
      <c r="AA603" s="117"/>
      <c r="AB603" s="117"/>
      <c r="AC603" s="117"/>
      <c r="AK603" s="113"/>
      <c r="AL603" s="113"/>
      <c r="AM603" s="113"/>
      <c r="AN603" s="118"/>
      <c r="AO603" s="118"/>
      <c r="AP603" s="118"/>
      <c r="AQ603" s="118"/>
    </row>
    <row r="604" spans="2:43" ht="15.75" customHeight="1">
      <c r="B604" s="113"/>
      <c r="E604" s="114"/>
      <c r="Q604" s="116"/>
      <c r="Z604" s="117"/>
      <c r="AA604" s="117"/>
      <c r="AB604" s="117"/>
      <c r="AC604" s="117"/>
      <c r="AK604" s="113"/>
      <c r="AL604" s="113"/>
      <c r="AM604" s="113"/>
      <c r="AN604" s="118"/>
      <c r="AO604" s="118"/>
      <c r="AP604" s="118"/>
      <c r="AQ604" s="118"/>
    </row>
    <row r="605" spans="2:43" ht="15.75" customHeight="1">
      <c r="B605" s="113"/>
      <c r="E605" s="114"/>
      <c r="Q605" s="116"/>
      <c r="Z605" s="117"/>
      <c r="AA605" s="117"/>
      <c r="AB605" s="117"/>
      <c r="AC605" s="117"/>
      <c r="AK605" s="113"/>
      <c r="AL605" s="113"/>
      <c r="AM605" s="113"/>
      <c r="AN605" s="118"/>
      <c r="AO605" s="118"/>
      <c r="AP605" s="118"/>
      <c r="AQ605" s="118"/>
    </row>
    <row r="606" spans="2:43" ht="15.75" customHeight="1">
      <c r="B606" s="113"/>
      <c r="E606" s="114"/>
      <c r="Q606" s="116"/>
      <c r="Z606" s="117"/>
      <c r="AA606" s="117"/>
      <c r="AB606" s="117"/>
      <c r="AC606" s="117"/>
      <c r="AK606" s="113"/>
      <c r="AL606" s="113"/>
      <c r="AM606" s="113"/>
      <c r="AN606" s="118"/>
      <c r="AO606" s="118"/>
      <c r="AP606" s="118"/>
      <c r="AQ606" s="118"/>
    </row>
    <row r="607" spans="2:43" ht="15.75" customHeight="1">
      <c r="B607" s="113"/>
      <c r="E607" s="114"/>
      <c r="Q607" s="116"/>
      <c r="Z607" s="117"/>
      <c r="AA607" s="117"/>
      <c r="AB607" s="117"/>
      <c r="AC607" s="117"/>
      <c r="AK607" s="113"/>
      <c r="AL607" s="113"/>
      <c r="AM607" s="113"/>
      <c r="AN607" s="118"/>
      <c r="AO607" s="118"/>
      <c r="AP607" s="118"/>
      <c r="AQ607" s="118"/>
    </row>
    <row r="608" spans="2:43" ht="15.75" customHeight="1">
      <c r="B608" s="113"/>
      <c r="E608" s="114"/>
      <c r="Q608" s="116"/>
      <c r="Z608" s="117"/>
      <c r="AA608" s="117"/>
      <c r="AB608" s="117"/>
      <c r="AC608" s="117"/>
      <c r="AK608" s="113"/>
      <c r="AL608" s="113"/>
      <c r="AM608" s="113"/>
      <c r="AN608" s="118"/>
      <c r="AO608" s="118"/>
      <c r="AP608" s="118"/>
      <c r="AQ608" s="118"/>
    </row>
    <row r="609" spans="2:43" ht="15.75" customHeight="1">
      <c r="B609" s="113"/>
      <c r="E609" s="114"/>
      <c r="Q609" s="116"/>
      <c r="Z609" s="117"/>
      <c r="AA609" s="117"/>
      <c r="AB609" s="117"/>
      <c r="AC609" s="117"/>
      <c r="AK609" s="113"/>
      <c r="AL609" s="113"/>
      <c r="AM609" s="113"/>
      <c r="AN609" s="118"/>
      <c r="AO609" s="118"/>
      <c r="AP609" s="118"/>
      <c r="AQ609" s="118"/>
    </row>
    <row r="610" spans="2:43" ht="15.75" customHeight="1">
      <c r="B610" s="113"/>
      <c r="E610" s="114"/>
      <c r="Q610" s="116"/>
      <c r="Z610" s="117"/>
      <c r="AA610" s="117"/>
      <c r="AB610" s="117"/>
      <c r="AC610" s="117"/>
      <c r="AK610" s="113"/>
      <c r="AL610" s="113"/>
      <c r="AM610" s="113"/>
      <c r="AN610" s="118"/>
      <c r="AO610" s="118"/>
      <c r="AP610" s="118"/>
      <c r="AQ610" s="118"/>
    </row>
    <row r="611" spans="2:43" ht="15.75" customHeight="1">
      <c r="B611" s="113"/>
      <c r="E611" s="114"/>
      <c r="Q611" s="116"/>
      <c r="Z611" s="117"/>
      <c r="AA611" s="117"/>
      <c r="AB611" s="117"/>
      <c r="AC611" s="117"/>
      <c r="AK611" s="113"/>
      <c r="AL611" s="113"/>
      <c r="AM611" s="113"/>
      <c r="AN611" s="118"/>
      <c r="AO611" s="118"/>
      <c r="AP611" s="118"/>
      <c r="AQ611" s="118"/>
    </row>
    <row r="612" spans="2:43" ht="15.75" customHeight="1">
      <c r="B612" s="113"/>
      <c r="E612" s="114"/>
      <c r="Q612" s="116"/>
      <c r="Z612" s="117"/>
      <c r="AA612" s="117"/>
      <c r="AB612" s="117"/>
      <c r="AC612" s="117"/>
      <c r="AK612" s="113"/>
      <c r="AL612" s="113"/>
      <c r="AM612" s="113"/>
      <c r="AN612" s="118"/>
      <c r="AO612" s="118"/>
      <c r="AP612" s="118"/>
      <c r="AQ612" s="118"/>
    </row>
    <row r="613" spans="2:43" ht="15.75" customHeight="1">
      <c r="B613" s="113"/>
      <c r="E613" s="114"/>
      <c r="Q613" s="116"/>
      <c r="Z613" s="117"/>
      <c r="AA613" s="117"/>
      <c r="AB613" s="117"/>
      <c r="AC613" s="117"/>
      <c r="AK613" s="113"/>
      <c r="AL613" s="113"/>
      <c r="AM613" s="113"/>
      <c r="AN613" s="118"/>
      <c r="AO613" s="118"/>
      <c r="AP613" s="118"/>
      <c r="AQ613" s="118"/>
    </row>
    <row r="614" spans="2:43" ht="15.75" customHeight="1">
      <c r="B614" s="113"/>
      <c r="E614" s="114"/>
      <c r="Q614" s="116"/>
      <c r="Z614" s="117"/>
      <c r="AA614" s="117"/>
      <c r="AB614" s="117"/>
      <c r="AC614" s="117"/>
      <c r="AK614" s="113"/>
      <c r="AL614" s="113"/>
      <c r="AM614" s="113"/>
      <c r="AN614" s="118"/>
      <c r="AO614" s="118"/>
      <c r="AP614" s="118"/>
      <c r="AQ614" s="118"/>
    </row>
    <row r="615" spans="2:43" ht="15.75" customHeight="1">
      <c r="B615" s="113"/>
      <c r="E615" s="114"/>
      <c r="Q615" s="116"/>
      <c r="Z615" s="117"/>
      <c r="AA615" s="117"/>
      <c r="AB615" s="117"/>
      <c r="AC615" s="117"/>
      <c r="AK615" s="113"/>
      <c r="AL615" s="113"/>
      <c r="AM615" s="113"/>
      <c r="AN615" s="118"/>
      <c r="AO615" s="118"/>
      <c r="AP615" s="118"/>
      <c r="AQ615" s="118"/>
    </row>
    <row r="616" spans="2:43" ht="15.75" customHeight="1">
      <c r="B616" s="113"/>
      <c r="E616" s="114"/>
      <c r="Q616" s="116"/>
      <c r="Z616" s="117"/>
      <c r="AA616" s="117"/>
      <c r="AB616" s="117"/>
      <c r="AC616" s="117"/>
      <c r="AK616" s="113"/>
      <c r="AL616" s="113"/>
      <c r="AM616" s="113"/>
      <c r="AN616" s="118"/>
      <c r="AO616" s="118"/>
      <c r="AP616" s="118"/>
      <c r="AQ616" s="118"/>
    </row>
    <row r="617" spans="2:43" ht="15.75" customHeight="1">
      <c r="B617" s="113"/>
      <c r="E617" s="114"/>
      <c r="Q617" s="116"/>
      <c r="Z617" s="117"/>
      <c r="AA617" s="117"/>
      <c r="AB617" s="117"/>
      <c r="AC617" s="117"/>
      <c r="AK617" s="113"/>
      <c r="AL617" s="113"/>
      <c r="AM617" s="113"/>
      <c r="AN617" s="118"/>
      <c r="AO617" s="118"/>
      <c r="AP617" s="118"/>
      <c r="AQ617" s="118"/>
    </row>
    <row r="618" spans="2:43" ht="15.75" customHeight="1">
      <c r="B618" s="113"/>
      <c r="E618" s="114"/>
      <c r="Q618" s="116"/>
      <c r="Z618" s="117"/>
      <c r="AA618" s="117"/>
      <c r="AB618" s="117"/>
      <c r="AC618" s="117"/>
      <c r="AK618" s="113"/>
      <c r="AL618" s="113"/>
      <c r="AM618" s="113"/>
      <c r="AN618" s="118"/>
      <c r="AO618" s="118"/>
      <c r="AP618" s="118"/>
      <c r="AQ618" s="118"/>
    </row>
    <row r="619" spans="2:43" ht="15.75" customHeight="1">
      <c r="B619" s="113"/>
      <c r="E619" s="114"/>
      <c r="Q619" s="116"/>
      <c r="Z619" s="117"/>
      <c r="AA619" s="117"/>
      <c r="AB619" s="117"/>
      <c r="AC619" s="117"/>
      <c r="AK619" s="113"/>
      <c r="AL619" s="113"/>
      <c r="AM619" s="113"/>
      <c r="AN619" s="118"/>
      <c r="AO619" s="118"/>
      <c r="AP619" s="118"/>
      <c r="AQ619" s="118"/>
    </row>
    <row r="620" spans="2:43" ht="15.75" customHeight="1">
      <c r="B620" s="113"/>
      <c r="E620" s="114"/>
      <c r="Q620" s="116"/>
      <c r="Z620" s="117"/>
      <c r="AA620" s="117"/>
      <c r="AB620" s="117"/>
      <c r="AC620" s="117"/>
      <c r="AK620" s="113"/>
      <c r="AL620" s="113"/>
      <c r="AM620" s="113"/>
      <c r="AN620" s="118"/>
      <c r="AO620" s="118"/>
      <c r="AP620" s="118"/>
      <c r="AQ620" s="118"/>
    </row>
    <row r="621" spans="2:43" ht="15.75" customHeight="1">
      <c r="B621" s="113"/>
      <c r="E621" s="114"/>
      <c r="Q621" s="116"/>
      <c r="Z621" s="117"/>
      <c r="AA621" s="117"/>
      <c r="AB621" s="117"/>
      <c r="AC621" s="117"/>
      <c r="AK621" s="113"/>
      <c r="AL621" s="113"/>
      <c r="AM621" s="113"/>
      <c r="AN621" s="118"/>
      <c r="AO621" s="118"/>
      <c r="AP621" s="118"/>
      <c r="AQ621" s="118"/>
    </row>
    <row r="622" spans="2:43" ht="15.75" customHeight="1">
      <c r="B622" s="113"/>
      <c r="E622" s="114"/>
      <c r="Q622" s="116"/>
      <c r="Z622" s="117"/>
      <c r="AA622" s="117"/>
      <c r="AB622" s="117"/>
      <c r="AC622" s="117"/>
      <c r="AK622" s="113"/>
      <c r="AL622" s="113"/>
      <c r="AM622" s="113"/>
      <c r="AN622" s="118"/>
      <c r="AO622" s="118"/>
      <c r="AP622" s="118"/>
      <c r="AQ622" s="118"/>
    </row>
    <row r="623" spans="2:43" ht="15.75" customHeight="1">
      <c r="B623" s="113"/>
      <c r="E623" s="114"/>
      <c r="Q623" s="116"/>
      <c r="Z623" s="117"/>
      <c r="AA623" s="117"/>
      <c r="AB623" s="117"/>
      <c r="AC623" s="117"/>
      <c r="AK623" s="113"/>
      <c r="AL623" s="113"/>
      <c r="AM623" s="113"/>
      <c r="AN623" s="118"/>
      <c r="AO623" s="118"/>
      <c r="AP623" s="118"/>
      <c r="AQ623" s="118"/>
    </row>
    <row r="624" spans="2:43" ht="15.75" customHeight="1">
      <c r="B624" s="113"/>
      <c r="E624" s="114"/>
      <c r="Q624" s="116"/>
      <c r="Z624" s="117"/>
      <c r="AA624" s="117"/>
      <c r="AB624" s="117"/>
      <c r="AC624" s="117"/>
      <c r="AK624" s="113"/>
      <c r="AL624" s="113"/>
      <c r="AM624" s="113"/>
      <c r="AN624" s="118"/>
      <c r="AO624" s="118"/>
      <c r="AP624" s="118"/>
      <c r="AQ624" s="118"/>
    </row>
    <row r="625" spans="2:43" ht="15.75" customHeight="1">
      <c r="B625" s="113"/>
      <c r="E625" s="114"/>
      <c r="Q625" s="116"/>
      <c r="Z625" s="117"/>
      <c r="AA625" s="117"/>
      <c r="AB625" s="117"/>
      <c r="AC625" s="117"/>
      <c r="AK625" s="113"/>
      <c r="AL625" s="113"/>
      <c r="AM625" s="113"/>
      <c r="AN625" s="118"/>
      <c r="AO625" s="118"/>
      <c r="AP625" s="118"/>
      <c r="AQ625" s="118"/>
    </row>
    <row r="626" spans="2:43" ht="15.75" customHeight="1">
      <c r="B626" s="113"/>
      <c r="E626" s="114"/>
      <c r="Q626" s="116"/>
      <c r="Z626" s="117"/>
      <c r="AA626" s="117"/>
      <c r="AB626" s="117"/>
      <c r="AC626" s="117"/>
      <c r="AK626" s="113"/>
      <c r="AL626" s="113"/>
      <c r="AM626" s="113"/>
      <c r="AN626" s="118"/>
      <c r="AO626" s="118"/>
      <c r="AP626" s="118"/>
      <c r="AQ626" s="118"/>
    </row>
    <row r="627" spans="2:43" ht="15.75" customHeight="1">
      <c r="B627" s="113"/>
      <c r="E627" s="114"/>
      <c r="Q627" s="116"/>
      <c r="Z627" s="117"/>
      <c r="AA627" s="117"/>
      <c r="AB627" s="117"/>
      <c r="AC627" s="117"/>
      <c r="AK627" s="113"/>
      <c r="AL627" s="113"/>
      <c r="AM627" s="113"/>
      <c r="AN627" s="118"/>
      <c r="AO627" s="118"/>
      <c r="AP627" s="118"/>
      <c r="AQ627" s="118"/>
    </row>
    <row r="628" spans="2:43" ht="15.75" customHeight="1">
      <c r="B628" s="113"/>
      <c r="E628" s="114"/>
      <c r="Q628" s="116"/>
      <c r="Z628" s="117"/>
      <c r="AA628" s="117"/>
      <c r="AB628" s="117"/>
      <c r="AC628" s="117"/>
      <c r="AK628" s="113"/>
      <c r="AL628" s="113"/>
      <c r="AM628" s="113"/>
      <c r="AN628" s="118"/>
      <c r="AO628" s="118"/>
      <c r="AP628" s="118"/>
      <c r="AQ628" s="118"/>
    </row>
    <row r="629" spans="2:43" ht="15.75" customHeight="1">
      <c r="B629" s="113"/>
      <c r="E629" s="114"/>
      <c r="Q629" s="116"/>
      <c r="Z629" s="117"/>
      <c r="AA629" s="117"/>
      <c r="AB629" s="117"/>
      <c r="AC629" s="117"/>
      <c r="AK629" s="113"/>
      <c r="AL629" s="113"/>
      <c r="AM629" s="113"/>
      <c r="AN629" s="118"/>
      <c r="AO629" s="118"/>
      <c r="AP629" s="118"/>
      <c r="AQ629" s="118"/>
    </row>
    <row r="630" spans="2:43" ht="15.75" customHeight="1">
      <c r="B630" s="113"/>
      <c r="E630" s="114"/>
      <c r="Q630" s="116"/>
      <c r="Z630" s="117"/>
      <c r="AA630" s="117"/>
      <c r="AB630" s="117"/>
      <c r="AC630" s="117"/>
      <c r="AK630" s="113"/>
      <c r="AL630" s="113"/>
      <c r="AM630" s="113"/>
      <c r="AN630" s="118"/>
      <c r="AO630" s="118"/>
      <c r="AP630" s="118"/>
      <c r="AQ630" s="118"/>
    </row>
    <row r="631" spans="2:43" ht="15.75" customHeight="1">
      <c r="B631" s="113"/>
      <c r="E631" s="114"/>
      <c r="Q631" s="116"/>
      <c r="Z631" s="117"/>
      <c r="AA631" s="117"/>
      <c r="AB631" s="117"/>
      <c r="AC631" s="117"/>
      <c r="AK631" s="113"/>
      <c r="AL631" s="113"/>
      <c r="AM631" s="113"/>
      <c r="AN631" s="118"/>
      <c r="AO631" s="118"/>
      <c r="AP631" s="118"/>
      <c r="AQ631" s="118"/>
    </row>
    <row r="632" spans="2:43" ht="15.75" customHeight="1">
      <c r="B632" s="113"/>
      <c r="E632" s="114"/>
      <c r="Q632" s="116"/>
      <c r="Z632" s="117"/>
      <c r="AA632" s="117"/>
      <c r="AB632" s="117"/>
      <c r="AC632" s="117"/>
      <c r="AK632" s="113"/>
      <c r="AL632" s="113"/>
      <c r="AM632" s="113"/>
      <c r="AN632" s="118"/>
      <c r="AO632" s="118"/>
      <c r="AP632" s="118"/>
      <c r="AQ632" s="118"/>
    </row>
    <row r="633" spans="2:43" ht="15.75" customHeight="1">
      <c r="B633" s="113"/>
      <c r="E633" s="114"/>
      <c r="Q633" s="116"/>
      <c r="Z633" s="117"/>
      <c r="AA633" s="117"/>
      <c r="AB633" s="117"/>
      <c r="AC633" s="117"/>
      <c r="AK633" s="113"/>
      <c r="AL633" s="113"/>
      <c r="AM633" s="113"/>
      <c r="AN633" s="118"/>
      <c r="AO633" s="118"/>
      <c r="AP633" s="118"/>
      <c r="AQ633" s="118"/>
    </row>
    <row r="634" spans="2:43" ht="15.75" customHeight="1">
      <c r="B634" s="113"/>
      <c r="E634" s="114"/>
      <c r="Q634" s="116"/>
      <c r="Z634" s="117"/>
      <c r="AA634" s="117"/>
      <c r="AB634" s="117"/>
      <c r="AC634" s="117"/>
      <c r="AK634" s="113"/>
      <c r="AL634" s="113"/>
      <c r="AM634" s="113"/>
      <c r="AN634" s="118"/>
      <c r="AO634" s="118"/>
      <c r="AP634" s="118"/>
      <c r="AQ634" s="118"/>
    </row>
    <row r="635" spans="2:43" ht="15.75" customHeight="1">
      <c r="B635" s="113"/>
      <c r="E635" s="114"/>
      <c r="Q635" s="116"/>
      <c r="Z635" s="117"/>
      <c r="AA635" s="117"/>
      <c r="AB635" s="117"/>
      <c r="AC635" s="117"/>
      <c r="AK635" s="113"/>
      <c r="AL635" s="113"/>
      <c r="AM635" s="113"/>
      <c r="AN635" s="118"/>
      <c r="AO635" s="118"/>
      <c r="AP635" s="118"/>
      <c r="AQ635" s="118"/>
    </row>
    <row r="636" spans="2:43" ht="15.75" customHeight="1">
      <c r="B636" s="113"/>
      <c r="E636" s="114"/>
      <c r="Q636" s="116"/>
      <c r="Z636" s="117"/>
      <c r="AA636" s="117"/>
      <c r="AB636" s="117"/>
      <c r="AC636" s="117"/>
      <c r="AK636" s="113"/>
      <c r="AL636" s="113"/>
      <c r="AM636" s="113"/>
      <c r="AN636" s="118"/>
      <c r="AO636" s="118"/>
      <c r="AP636" s="118"/>
      <c r="AQ636" s="118"/>
    </row>
    <row r="637" spans="2:43" ht="15.75" customHeight="1">
      <c r="B637" s="113"/>
      <c r="E637" s="114"/>
      <c r="Q637" s="116"/>
      <c r="Z637" s="117"/>
      <c r="AA637" s="117"/>
      <c r="AB637" s="117"/>
      <c r="AC637" s="117"/>
      <c r="AK637" s="113"/>
      <c r="AL637" s="113"/>
      <c r="AM637" s="113"/>
      <c r="AN637" s="118"/>
      <c r="AO637" s="118"/>
      <c r="AP637" s="118"/>
      <c r="AQ637" s="118"/>
    </row>
    <row r="638" spans="2:43" ht="15.75" customHeight="1">
      <c r="B638" s="113"/>
      <c r="E638" s="114"/>
      <c r="Q638" s="116"/>
      <c r="Z638" s="117"/>
      <c r="AA638" s="117"/>
      <c r="AB638" s="117"/>
      <c r="AC638" s="117"/>
      <c r="AK638" s="113"/>
      <c r="AL638" s="113"/>
      <c r="AM638" s="113"/>
      <c r="AN638" s="118"/>
      <c r="AO638" s="118"/>
      <c r="AP638" s="118"/>
      <c r="AQ638" s="118"/>
    </row>
    <row r="639" spans="2:43" ht="15.75" customHeight="1">
      <c r="B639" s="113"/>
      <c r="E639" s="114"/>
      <c r="Q639" s="116"/>
      <c r="Z639" s="117"/>
      <c r="AA639" s="117"/>
      <c r="AB639" s="117"/>
      <c r="AC639" s="117"/>
      <c r="AK639" s="113"/>
      <c r="AL639" s="113"/>
      <c r="AM639" s="113"/>
      <c r="AN639" s="118"/>
      <c r="AO639" s="118"/>
      <c r="AP639" s="118"/>
      <c r="AQ639" s="118"/>
    </row>
    <row r="640" spans="2:43" ht="15.75" customHeight="1">
      <c r="B640" s="113"/>
      <c r="E640" s="114"/>
      <c r="Q640" s="116"/>
      <c r="Z640" s="117"/>
      <c r="AA640" s="117"/>
      <c r="AB640" s="117"/>
      <c r="AC640" s="117"/>
      <c r="AK640" s="113"/>
      <c r="AL640" s="113"/>
      <c r="AM640" s="113"/>
      <c r="AN640" s="118"/>
      <c r="AO640" s="118"/>
      <c r="AP640" s="118"/>
      <c r="AQ640" s="118"/>
    </row>
    <row r="641" spans="2:43" ht="15.75" customHeight="1">
      <c r="B641" s="113"/>
      <c r="E641" s="114"/>
      <c r="Q641" s="116"/>
      <c r="Z641" s="117"/>
      <c r="AA641" s="117"/>
      <c r="AB641" s="117"/>
      <c r="AC641" s="117"/>
      <c r="AK641" s="113"/>
      <c r="AL641" s="113"/>
      <c r="AM641" s="113"/>
      <c r="AN641" s="118"/>
      <c r="AO641" s="118"/>
      <c r="AP641" s="118"/>
      <c r="AQ641" s="118"/>
    </row>
    <row r="642" spans="2:43" ht="15.75" customHeight="1">
      <c r="B642" s="113"/>
      <c r="E642" s="114"/>
      <c r="Q642" s="116"/>
      <c r="Z642" s="117"/>
      <c r="AA642" s="117"/>
      <c r="AB642" s="117"/>
      <c r="AC642" s="117"/>
      <c r="AK642" s="113"/>
      <c r="AL642" s="113"/>
      <c r="AM642" s="113"/>
      <c r="AN642" s="118"/>
      <c r="AO642" s="118"/>
      <c r="AP642" s="118"/>
      <c r="AQ642" s="118"/>
    </row>
    <row r="643" spans="2:43" ht="15.75" customHeight="1">
      <c r="B643" s="113"/>
      <c r="E643" s="114"/>
      <c r="Q643" s="116"/>
      <c r="Z643" s="117"/>
      <c r="AA643" s="117"/>
      <c r="AB643" s="117"/>
      <c r="AC643" s="117"/>
      <c r="AK643" s="113"/>
      <c r="AL643" s="113"/>
      <c r="AM643" s="113"/>
      <c r="AN643" s="118"/>
      <c r="AO643" s="118"/>
      <c r="AP643" s="118"/>
      <c r="AQ643" s="118"/>
    </row>
    <row r="644" spans="2:43" ht="15.75" customHeight="1">
      <c r="B644" s="113"/>
      <c r="E644" s="114"/>
      <c r="Q644" s="116"/>
      <c r="Z644" s="117"/>
      <c r="AA644" s="117"/>
      <c r="AB644" s="117"/>
      <c r="AC644" s="117"/>
      <c r="AK644" s="113"/>
      <c r="AL644" s="113"/>
      <c r="AM644" s="113"/>
      <c r="AN644" s="118"/>
      <c r="AO644" s="118"/>
      <c r="AP644" s="118"/>
      <c r="AQ644" s="118"/>
    </row>
    <row r="645" spans="2:43" ht="15.75" customHeight="1">
      <c r="B645" s="113"/>
      <c r="E645" s="114"/>
      <c r="Q645" s="116"/>
      <c r="Z645" s="117"/>
      <c r="AA645" s="117"/>
      <c r="AB645" s="117"/>
      <c r="AC645" s="117"/>
      <c r="AK645" s="113"/>
      <c r="AL645" s="113"/>
      <c r="AM645" s="113"/>
      <c r="AN645" s="118"/>
      <c r="AO645" s="118"/>
      <c r="AP645" s="118"/>
      <c r="AQ645" s="118"/>
    </row>
    <row r="646" spans="2:43" ht="15.75" customHeight="1">
      <c r="B646" s="113"/>
      <c r="E646" s="114"/>
      <c r="Q646" s="116"/>
      <c r="Z646" s="117"/>
      <c r="AA646" s="117"/>
      <c r="AB646" s="117"/>
      <c r="AC646" s="117"/>
      <c r="AK646" s="113"/>
      <c r="AL646" s="113"/>
      <c r="AM646" s="113"/>
      <c r="AN646" s="118"/>
      <c r="AO646" s="118"/>
      <c r="AP646" s="118"/>
      <c r="AQ646" s="118"/>
    </row>
    <row r="647" spans="2:43" ht="15.75" customHeight="1">
      <c r="B647" s="113"/>
      <c r="E647" s="114"/>
      <c r="Q647" s="116"/>
      <c r="Z647" s="117"/>
      <c r="AA647" s="117"/>
      <c r="AB647" s="117"/>
      <c r="AC647" s="117"/>
      <c r="AK647" s="113"/>
      <c r="AL647" s="113"/>
      <c r="AM647" s="113"/>
      <c r="AN647" s="118"/>
      <c r="AO647" s="118"/>
      <c r="AP647" s="118"/>
      <c r="AQ647" s="118"/>
    </row>
    <row r="648" spans="2:43" ht="15.75" customHeight="1">
      <c r="B648" s="113"/>
      <c r="E648" s="114"/>
      <c r="Q648" s="116"/>
      <c r="Z648" s="117"/>
      <c r="AA648" s="117"/>
      <c r="AB648" s="117"/>
      <c r="AC648" s="117"/>
      <c r="AK648" s="113"/>
      <c r="AL648" s="113"/>
      <c r="AM648" s="113"/>
      <c r="AN648" s="118"/>
      <c r="AO648" s="118"/>
      <c r="AP648" s="118"/>
      <c r="AQ648" s="118"/>
    </row>
    <row r="649" spans="2:43" ht="15.75" customHeight="1">
      <c r="B649" s="113"/>
      <c r="E649" s="114"/>
      <c r="Q649" s="116"/>
      <c r="Z649" s="117"/>
      <c r="AA649" s="117"/>
      <c r="AB649" s="117"/>
      <c r="AC649" s="117"/>
      <c r="AK649" s="113"/>
      <c r="AL649" s="113"/>
      <c r="AM649" s="113"/>
      <c r="AN649" s="118"/>
      <c r="AO649" s="118"/>
      <c r="AP649" s="118"/>
      <c r="AQ649" s="118"/>
    </row>
    <row r="650" spans="2:43" ht="15.75" customHeight="1">
      <c r="B650" s="113"/>
      <c r="E650" s="114"/>
      <c r="Q650" s="116"/>
      <c r="Z650" s="117"/>
      <c r="AA650" s="117"/>
      <c r="AB650" s="117"/>
      <c r="AC650" s="117"/>
      <c r="AK650" s="113"/>
      <c r="AL650" s="113"/>
      <c r="AM650" s="113"/>
      <c r="AN650" s="118"/>
      <c r="AO650" s="118"/>
      <c r="AP650" s="118"/>
      <c r="AQ650" s="118"/>
    </row>
    <row r="651" spans="2:43" ht="15.75" customHeight="1">
      <c r="B651" s="113"/>
      <c r="E651" s="114"/>
      <c r="Q651" s="116"/>
      <c r="Z651" s="117"/>
      <c r="AA651" s="117"/>
      <c r="AB651" s="117"/>
      <c r="AC651" s="117"/>
      <c r="AK651" s="113"/>
      <c r="AL651" s="113"/>
      <c r="AM651" s="113"/>
      <c r="AN651" s="118"/>
      <c r="AO651" s="118"/>
      <c r="AP651" s="118"/>
      <c r="AQ651" s="118"/>
    </row>
    <row r="652" spans="2:43" ht="15.75" customHeight="1">
      <c r="B652" s="113"/>
      <c r="E652" s="114"/>
      <c r="Q652" s="116"/>
      <c r="Z652" s="117"/>
      <c r="AA652" s="117"/>
      <c r="AB652" s="117"/>
      <c r="AC652" s="117"/>
      <c r="AK652" s="113"/>
      <c r="AL652" s="113"/>
      <c r="AM652" s="113"/>
      <c r="AN652" s="118"/>
      <c r="AO652" s="118"/>
      <c r="AP652" s="118"/>
      <c r="AQ652" s="118"/>
    </row>
    <row r="653" spans="2:43" ht="15.75" customHeight="1">
      <c r="B653" s="113"/>
      <c r="E653" s="114"/>
      <c r="Q653" s="116"/>
      <c r="Z653" s="117"/>
      <c r="AA653" s="117"/>
      <c r="AB653" s="117"/>
      <c r="AC653" s="117"/>
      <c r="AK653" s="113"/>
      <c r="AL653" s="113"/>
      <c r="AM653" s="113"/>
      <c r="AN653" s="118"/>
      <c r="AO653" s="118"/>
      <c r="AP653" s="118"/>
      <c r="AQ653" s="118"/>
    </row>
    <row r="654" spans="2:43" ht="15.75" customHeight="1">
      <c r="B654" s="113"/>
      <c r="E654" s="114"/>
      <c r="Q654" s="116"/>
      <c r="Z654" s="117"/>
      <c r="AA654" s="117"/>
      <c r="AB654" s="117"/>
      <c r="AC654" s="117"/>
      <c r="AK654" s="113"/>
      <c r="AL654" s="113"/>
      <c r="AM654" s="113"/>
      <c r="AN654" s="118"/>
      <c r="AO654" s="118"/>
      <c r="AP654" s="118"/>
      <c r="AQ654" s="118"/>
    </row>
    <row r="655" spans="2:43" ht="15.75" customHeight="1">
      <c r="B655" s="113"/>
      <c r="E655" s="114"/>
      <c r="Q655" s="116"/>
      <c r="Z655" s="117"/>
      <c r="AA655" s="117"/>
      <c r="AB655" s="117"/>
      <c r="AC655" s="117"/>
      <c r="AK655" s="113"/>
      <c r="AL655" s="113"/>
      <c r="AM655" s="113"/>
      <c r="AN655" s="118"/>
      <c r="AO655" s="118"/>
      <c r="AP655" s="118"/>
      <c r="AQ655" s="118"/>
    </row>
    <row r="656" spans="2:43" ht="15.75" customHeight="1">
      <c r="B656" s="113"/>
      <c r="E656" s="114"/>
      <c r="Q656" s="116"/>
      <c r="Z656" s="117"/>
      <c r="AA656" s="117"/>
      <c r="AB656" s="117"/>
      <c r="AC656" s="117"/>
      <c r="AK656" s="113"/>
      <c r="AL656" s="113"/>
      <c r="AM656" s="113"/>
      <c r="AN656" s="118"/>
      <c r="AO656" s="118"/>
      <c r="AP656" s="118"/>
      <c r="AQ656" s="118"/>
    </row>
    <row r="657" spans="2:43" ht="15.75" customHeight="1">
      <c r="B657" s="113"/>
      <c r="E657" s="114"/>
      <c r="Q657" s="116"/>
      <c r="Z657" s="117"/>
      <c r="AA657" s="117"/>
      <c r="AB657" s="117"/>
      <c r="AC657" s="117"/>
      <c r="AK657" s="113"/>
      <c r="AL657" s="113"/>
      <c r="AM657" s="113"/>
      <c r="AN657" s="118"/>
      <c r="AO657" s="118"/>
      <c r="AP657" s="118"/>
      <c r="AQ657" s="118"/>
    </row>
    <row r="658" spans="2:43" ht="15.75" customHeight="1">
      <c r="B658" s="113"/>
      <c r="E658" s="114"/>
      <c r="Q658" s="116"/>
      <c r="Z658" s="117"/>
      <c r="AA658" s="117"/>
      <c r="AB658" s="117"/>
      <c r="AC658" s="117"/>
      <c r="AK658" s="113"/>
      <c r="AL658" s="113"/>
      <c r="AM658" s="113"/>
      <c r="AN658" s="118"/>
      <c r="AO658" s="118"/>
      <c r="AP658" s="118"/>
      <c r="AQ658" s="118"/>
    </row>
    <row r="659" spans="2:43" ht="15.75" customHeight="1">
      <c r="B659" s="113"/>
      <c r="E659" s="114"/>
      <c r="Q659" s="116"/>
      <c r="Z659" s="117"/>
      <c r="AA659" s="117"/>
      <c r="AB659" s="117"/>
      <c r="AC659" s="117"/>
      <c r="AK659" s="113"/>
      <c r="AL659" s="113"/>
      <c r="AM659" s="113"/>
      <c r="AN659" s="118"/>
      <c r="AO659" s="118"/>
      <c r="AP659" s="118"/>
      <c r="AQ659" s="118"/>
    </row>
    <row r="660" spans="2:43" ht="15.75" customHeight="1">
      <c r="B660" s="113"/>
      <c r="E660" s="114"/>
      <c r="Q660" s="116"/>
      <c r="Z660" s="117"/>
      <c r="AA660" s="117"/>
      <c r="AB660" s="117"/>
      <c r="AC660" s="117"/>
      <c r="AK660" s="113"/>
      <c r="AL660" s="113"/>
      <c r="AM660" s="113"/>
      <c r="AN660" s="118"/>
      <c r="AO660" s="118"/>
      <c r="AP660" s="118"/>
      <c r="AQ660" s="118"/>
    </row>
    <row r="661" spans="2:43" ht="15.75" customHeight="1">
      <c r="B661" s="113"/>
      <c r="E661" s="114"/>
      <c r="Q661" s="116"/>
      <c r="Z661" s="117"/>
      <c r="AA661" s="117"/>
      <c r="AB661" s="117"/>
      <c r="AC661" s="117"/>
      <c r="AK661" s="113"/>
      <c r="AL661" s="113"/>
      <c r="AM661" s="113"/>
      <c r="AN661" s="118"/>
      <c r="AO661" s="118"/>
      <c r="AP661" s="118"/>
      <c r="AQ661" s="118"/>
    </row>
    <row r="662" spans="2:43" ht="15.75" customHeight="1">
      <c r="B662" s="113"/>
      <c r="E662" s="114"/>
      <c r="Q662" s="116"/>
      <c r="Z662" s="117"/>
      <c r="AA662" s="117"/>
      <c r="AB662" s="117"/>
      <c r="AC662" s="117"/>
      <c r="AK662" s="113"/>
      <c r="AL662" s="113"/>
      <c r="AM662" s="113"/>
      <c r="AN662" s="118"/>
      <c r="AO662" s="118"/>
      <c r="AP662" s="118"/>
      <c r="AQ662" s="118"/>
    </row>
    <row r="663" spans="2:43" ht="15.75" customHeight="1">
      <c r="B663" s="113"/>
      <c r="E663" s="114"/>
      <c r="Q663" s="116"/>
      <c r="Z663" s="117"/>
      <c r="AA663" s="117"/>
      <c r="AB663" s="117"/>
      <c r="AC663" s="117"/>
      <c r="AK663" s="113"/>
      <c r="AL663" s="113"/>
      <c r="AM663" s="113"/>
      <c r="AN663" s="118"/>
      <c r="AO663" s="118"/>
      <c r="AP663" s="118"/>
      <c r="AQ663" s="118"/>
    </row>
    <row r="664" spans="2:43" ht="15.75" customHeight="1">
      <c r="B664" s="113"/>
      <c r="E664" s="114"/>
      <c r="Q664" s="116"/>
      <c r="Z664" s="117"/>
      <c r="AA664" s="117"/>
      <c r="AB664" s="117"/>
      <c r="AC664" s="117"/>
      <c r="AK664" s="113"/>
      <c r="AL664" s="113"/>
      <c r="AM664" s="113"/>
      <c r="AN664" s="118"/>
      <c r="AO664" s="118"/>
      <c r="AP664" s="118"/>
      <c r="AQ664" s="118"/>
    </row>
    <row r="665" spans="2:43" ht="15.75" customHeight="1">
      <c r="B665" s="113"/>
      <c r="E665" s="114"/>
      <c r="Q665" s="116"/>
      <c r="Z665" s="117"/>
      <c r="AA665" s="117"/>
      <c r="AB665" s="117"/>
      <c r="AC665" s="117"/>
      <c r="AK665" s="113"/>
      <c r="AL665" s="113"/>
      <c r="AM665" s="113"/>
      <c r="AN665" s="118"/>
      <c r="AO665" s="118"/>
      <c r="AP665" s="118"/>
      <c r="AQ665" s="118"/>
    </row>
    <row r="666" spans="2:43" ht="15.75" customHeight="1">
      <c r="B666" s="113"/>
      <c r="E666" s="114"/>
      <c r="Q666" s="116"/>
      <c r="Z666" s="117"/>
      <c r="AA666" s="117"/>
      <c r="AB666" s="117"/>
      <c r="AC666" s="117"/>
      <c r="AK666" s="113"/>
      <c r="AL666" s="113"/>
      <c r="AM666" s="113"/>
      <c r="AN666" s="118"/>
      <c r="AO666" s="118"/>
      <c r="AP666" s="118"/>
      <c r="AQ666" s="118"/>
    </row>
    <row r="667" spans="2:43" ht="15.75" customHeight="1">
      <c r="B667" s="113"/>
      <c r="E667" s="114"/>
      <c r="Q667" s="116"/>
      <c r="Z667" s="117"/>
      <c r="AA667" s="117"/>
      <c r="AB667" s="117"/>
      <c r="AC667" s="117"/>
      <c r="AK667" s="113"/>
      <c r="AL667" s="113"/>
      <c r="AM667" s="113"/>
      <c r="AN667" s="118"/>
      <c r="AO667" s="118"/>
      <c r="AP667" s="118"/>
      <c r="AQ667" s="118"/>
    </row>
    <row r="668" spans="2:43" ht="15.75" customHeight="1">
      <c r="B668" s="113"/>
      <c r="E668" s="114"/>
      <c r="Q668" s="116"/>
      <c r="Z668" s="117"/>
      <c r="AA668" s="117"/>
      <c r="AB668" s="117"/>
      <c r="AC668" s="117"/>
      <c r="AK668" s="113"/>
      <c r="AL668" s="113"/>
      <c r="AM668" s="113"/>
      <c r="AN668" s="118"/>
      <c r="AO668" s="118"/>
      <c r="AP668" s="118"/>
      <c r="AQ668" s="118"/>
    </row>
    <row r="669" spans="2:43" ht="15.75" customHeight="1">
      <c r="B669" s="113"/>
      <c r="E669" s="114"/>
      <c r="Q669" s="116"/>
      <c r="Z669" s="117"/>
      <c r="AA669" s="117"/>
      <c r="AB669" s="117"/>
      <c r="AC669" s="117"/>
      <c r="AK669" s="113"/>
      <c r="AL669" s="113"/>
      <c r="AM669" s="113"/>
      <c r="AN669" s="118"/>
      <c r="AO669" s="118"/>
      <c r="AP669" s="118"/>
      <c r="AQ669" s="118"/>
    </row>
    <row r="670" spans="2:43" ht="15.75" customHeight="1">
      <c r="B670" s="113"/>
      <c r="E670" s="114"/>
      <c r="Q670" s="116"/>
      <c r="Z670" s="117"/>
      <c r="AA670" s="117"/>
      <c r="AB670" s="117"/>
      <c r="AC670" s="117"/>
      <c r="AK670" s="113"/>
      <c r="AL670" s="113"/>
      <c r="AM670" s="113"/>
      <c r="AN670" s="118"/>
      <c r="AO670" s="118"/>
      <c r="AP670" s="118"/>
      <c r="AQ670" s="118"/>
    </row>
    <row r="671" spans="2:43" ht="15.75" customHeight="1">
      <c r="B671" s="113"/>
      <c r="E671" s="114"/>
      <c r="Q671" s="116"/>
      <c r="Z671" s="117"/>
      <c r="AA671" s="117"/>
      <c r="AB671" s="117"/>
      <c r="AC671" s="117"/>
      <c r="AK671" s="113"/>
      <c r="AL671" s="113"/>
      <c r="AM671" s="113"/>
      <c r="AN671" s="118"/>
      <c r="AO671" s="118"/>
      <c r="AP671" s="118"/>
      <c r="AQ671" s="118"/>
    </row>
    <row r="672" spans="2:43" ht="15.75" customHeight="1">
      <c r="B672" s="113"/>
      <c r="E672" s="114"/>
      <c r="Q672" s="116"/>
      <c r="Z672" s="117"/>
      <c r="AA672" s="117"/>
      <c r="AB672" s="117"/>
      <c r="AC672" s="117"/>
      <c r="AK672" s="113"/>
      <c r="AL672" s="113"/>
      <c r="AM672" s="113"/>
      <c r="AN672" s="118"/>
      <c r="AO672" s="118"/>
      <c r="AP672" s="118"/>
      <c r="AQ672" s="118"/>
    </row>
    <row r="673" spans="2:43" ht="15.75" customHeight="1">
      <c r="B673" s="113"/>
      <c r="E673" s="114"/>
      <c r="Q673" s="116"/>
      <c r="Z673" s="117"/>
      <c r="AA673" s="117"/>
      <c r="AB673" s="117"/>
      <c r="AC673" s="117"/>
      <c r="AK673" s="113"/>
      <c r="AL673" s="113"/>
      <c r="AM673" s="113"/>
      <c r="AN673" s="118"/>
      <c r="AO673" s="118"/>
      <c r="AP673" s="118"/>
      <c r="AQ673" s="118"/>
    </row>
    <row r="674" spans="2:43" ht="15.75" customHeight="1">
      <c r="B674" s="113"/>
      <c r="E674" s="114"/>
      <c r="Q674" s="116"/>
      <c r="Z674" s="117"/>
      <c r="AA674" s="117"/>
      <c r="AB674" s="117"/>
      <c r="AC674" s="117"/>
      <c r="AK674" s="113"/>
      <c r="AL674" s="113"/>
      <c r="AM674" s="113"/>
      <c r="AN674" s="118"/>
      <c r="AO674" s="118"/>
      <c r="AP674" s="118"/>
      <c r="AQ674" s="118"/>
    </row>
    <row r="675" spans="2:43" ht="15.75" customHeight="1">
      <c r="B675" s="113"/>
      <c r="E675" s="114"/>
      <c r="Q675" s="116"/>
      <c r="Z675" s="117"/>
      <c r="AA675" s="117"/>
      <c r="AB675" s="117"/>
      <c r="AC675" s="117"/>
      <c r="AK675" s="113"/>
      <c r="AL675" s="113"/>
      <c r="AM675" s="113"/>
      <c r="AN675" s="118"/>
      <c r="AO675" s="118"/>
      <c r="AP675" s="118"/>
      <c r="AQ675" s="118"/>
    </row>
    <row r="676" spans="2:43" ht="15.75" customHeight="1">
      <c r="B676" s="113"/>
      <c r="E676" s="114"/>
      <c r="Q676" s="116"/>
      <c r="Z676" s="117"/>
      <c r="AA676" s="117"/>
      <c r="AB676" s="117"/>
      <c r="AC676" s="117"/>
      <c r="AK676" s="113"/>
      <c r="AL676" s="113"/>
      <c r="AM676" s="113"/>
      <c r="AN676" s="118"/>
      <c r="AO676" s="118"/>
      <c r="AP676" s="118"/>
      <c r="AQ676" s="118"/>
    </row>
    <row r="677" spans="2:43" ht="15.75" customHeight="1">
      <c r="B677" s="113"/>
      <c r="E677" s="114"/>
      <c r="Q677" s="116"/>
      <c r="Z677" s="117"/>
      <c r="AA677" s="117"/>
      <c r="AB677" s="117"/>
      <c r="AC677" s="117"/>
      <c r="AK677" s="113"/>
      <c r="AL677" s="113"/>
      <c r="AM677" s="113"/>
      <c r="AN677" s="118"/>
      <c r="AO677" s="118"/>
      <c r="AP677" s="118"/>
      <c r="AQ677" s="118"/>
    </row>
    <row r="678" spans="2:43" ht="15.75" customHeight="1">
      <c r="B678" s="113"/>
      <c r="E678" s="114"/>
      <c r="Q678" s="116"/>
      <c r="Z678" s="117"/>
      <c r="AA678" s="117"/>
      <c r="AB678" s="117"/>
      <c r="AC678" s="117"/>
      <c r="AK678" s="113"/>
      <c r="AL678" s="113"/>
      <c r="AM678" s="113"/>
      <c r="AN678" s="118"/>
      <c r="AO678" s="118"/>
      <c r="AP678" s="118"/>
      <c r="AQ678" s="118"/>
    </row>
    <row r="679" spans="2:43" ht="15.75" customHeight="1">
      <c r="B679" s="113"/>
      <c r="E679" s="114"/>
      <c r="Q679" s="116"/>
      <c r="Z679" s="117"/>
      <c r="AA679" s="117"/>
      <c r="AB679" s="117"/>
      <c r="AC679" s="117"/>
      <c r="AK679" s="113"/>
      <c r="AL679" s="113"/>
      <c r="AM679" s="113"/>
      <c r="AN679" s="118"/>
      <c r="AO679" s="118"/>
      <c r="AP679" s="118"/>
      <c r="AQ679" s="118"/>
    </row>
    <row r="680" spans="2:43" ht="15.75" customHeight="1">
      <c r="B680" s="113"/>
      <c r="E680" s="114"/>
      <c r="Q680" s="116"/>
      <c r="Z680" s="117"/>
      <c r="AA680" s="117"/>
      <c r="AB680" s="117"/>
      <c r="AC680" s="117"/>
      <c r="AK680" s="113"/>
      <c r="AL680" s="113"/>
      <c r="AM680" s="113"/>
      <c r="AN680" s="118"/>
      <c r="AO680" s="118"/>
      <c r="AP680" s="118"/>
      <c r="AQ680" s="118"/>
    </row>
    <row r="681" spans="2:43" ht="15.75" customHeight="1">
      <c r="B681" s="113"/>
      <c r="E681" s="114"/>
      <c r="Q681" s="116"/>
      <c r="Z681" s="117"/>
      <c r="AA681" s="117"/>
      <c r="AB681" s="117"/>
      <c r="AC681" s="117"/>
      <c r="AK681" s="113"/>
      <c r="AL681" s="113"/>
      <c r="AM681" s="113"/>
      <c r="AN681" s="118"/>
      <c r="AO681" s="118"/>
      <c r="AP681" s="118"/>
      <c r="AQ681" s="118"/>
    </row>
    <row r="682" spans="2:43" ht="15.75" customHeight="1">
      <c r="B682" s="113"/>
      <c r="E682" s="114"/>
      <c r="Q682" s="116"/>
      <c r="Z682" s="117"/>
      <c r="AA682" s="117"/>
      <c r="AB682" s="117"/>
      <c r="AC682" s="117"/>
      <c r="AK682" s="113"/>
      <c r="AL682" s="113"/>
      <c r="AM682" s="113"/>
      <c r="AN682" s="118"/>
      <c r="AO682" s="118"/>
      <c r="AP682" s="118"/>
      <c r="AQ682" s="118"/>
    </row>
    <row r="683" spans="2:43" ht="15.75" customHeight="1">
      <c r="B683" s="113"/>
      <c r="E683" s="114"/>
      <c r="Q683" s="116"/>
      <c r="Z683" s="117"/>
      <c r="AA683" s="117"/>
      <c r="AB683" s="117"/>
      <c r="AC683" s="117"/>
      <c r="AK683" s="113"/>
      <c r="AL683" s="113"/>
      <c r="AM683" s="113"/>
      <c r="AN683" s="118"/>
      <c r="AO683" s="118"/>
      <c r="AP683" s="118"/>
      <c r="AQ683" s="118"/>
    </row>
    <row r="684" spans="2:43" ht="15.75" customHeight="1">
      <c r="B684" s="113"/>
      <c r="E684" s="114"/>
      <c r="Q684" s="116"/>
      <c r="Z684" s="117"/>
      <c r="AA684" s="117"/>
      <c r="AB684" s="117"/>
      <c r="AC684" s="117"/>
      <c r="AK684" s="113"/>
      <c r="AL684" s="113"/>
      <c r="AM684" s="113"/>
      <c r="AN684" s="118"/>
      <c r="AO684" s="118"/>
      <c r="AP684" s="118"/>
      <c r="AQ684" s="118"/>
    </row>
    <row r="685" spans="2:43" ht="15.75" customHeight="1">
      <c r="B685" s="113"/>
      <c r="E685" s="114"/>
      <c r="Q685" s="116"/>
      <c r="Z685" s="117"/>
      <c r="AA685" s="117"/>
      <c r="AB685" s="117"/>
      <c r="AC685" s="117"/>
      <c r="AK685" s="113"/>
      <c r="AL685" s="113"/>
      <c r="AM685" s="113"/>
      <c r="AN685" s="118"/>
      <c r="AO685" s="118"/>
      <c r="AP685" s="118"/>
      <c r="AQ685" s="118"/>
    </row>
    <row r="686" spans="2:43" ht="15.75" customHeight="1">
      <c r="B686" s="113"/>
      <c r="E686" s="114"/>
      <c r="Q686" s="116"/>
      <c r="Z686" s="117"/>
      <c r="AA686" s="117"/>
      <c r="AB686" s="117"/>
      <c r="AC686" s="117"/>
      <c r="AK686" s="113"/>
      <c r="AL686" s="113"/>
      <c r="AM686" s="113"/>
      <c r="AN686" s="118"/>
      <c r="AO686" s="118"/>
      <c r="AP686" s="118"/>
      <c r="AQ686" s="118"/>
    </row>
    <row r="687" spans="2:43" ht="15.75" customHeight="1">
      <c r="B687" s="113"/>
      <c r="E687" s="114"/>
      <c r="Q687" s="116"/>
      <c r="Z687" s="117"/>
      <c r="AA687" s="117"/>
      <c r="AB687" s="117"/>
      <c r="AC687" s="117"/>
      <c r="AK687" s="113"/>
      <c r="AL687" s="113"/>
      <c r="AM687" s="113"/>
      <c r="AN687" s="118"/>
      <c r="AO687" s="118"/>
      <c r="AP687" s="118"/>
      <c r="AQ687" s="118"/>
    </row>
    <row r="688" spans="2:43" ht="15.75" customHeight="1">
      <c r="B688" s="113"/>
      <c r="E688" s="114"/>
      <c r="Q688" s="116"/>
      <c r="Z688" s="117"/>
      <c r="AA688" s="117"/>
      <c r="AB688" s="117"/>
      <c r="AC688" s="117"/>
      <c r="AK688" s="113"/>
      <c r="AL688" s="113"/>
      <c r="AM688" s="113"/>
      <c r="AN688" s="118"/>
      <c r="AO688" s="118"/>
      <c r="AP688" s="118"/>
      <c r="AQ688" s="118"/>
    </row>
    <row r="689" spans="2:43" ht="15.75" customHeight="1">
      <c r="B689" s="113"/>
      <c r="E689" s="114"/>
      <c r="Q689" s="116"/>
      <c r="Z689" s="117"/>
      <c r="AA689" s="117"/>
      <c r="AB689" s="117"/>
      <c r="AC689" s="117"/>
      <c r="AK689" s="113"/>
      <c r="AL689" s="113"/>
      <c r="AM689" s="113"/>
      <c r="AN689" s="118"/>
      <c r="AO689" s="118"/>
      <c r="AP689" s="118"/>
      <c r="AQ689" s="118"/>
    </row>
    <row r="690" spans="2:43" ht="15.75" customHeight="1">
      <c r="B690" s="113"/>
      <c r="E690" s="114"/>
      <c r="Q690" s="116"/>
      <c r="Z690" s="117"/>
      <c r="AA690" s="117"/>
      <c r="AB690" s="117"/>
      <c r="AC690" s="117"/>
      <c r="AK690" s="113"/>
      <c r="AL690" s="113"/>
      <c r="AM690" s="113"/>
      <c r="AN690" s="118"/>
      <c r="AO690" s="118"/>
      <c r="AP690" s="118"/>
      <c r="AQ690" s="118"/>
    </row>
    <row r="691" spans="2:43" ht="15.75" customHeight="1">
      <c r="B691" s="113"/>
      <c r="E691" s="114"/>
      <c r="Q691" s="116"/>
      <c r="Z691" s="117"/>
      <c r="AA691" s="117"/>
      <c r="AB691" s="117"/>
      <c r="AC691" s="117"/>
      <c r="AK691" s="113"/>
      <c r="AL691" s="113"/>
      <c r="AM691" s="113"/>
      <c r="AN691" s="118"/>
      <c r="AO691" s="118"/>
      <c r="AP691" s="118"/>
      <c r="AQ691" s="118"/>
    </row>
    <row r="692" spans="2:43" ht="15.75" customHeight="1">
      <c r="B692" s="113"/>
      <c r="E692" s="114"/>
      <c r="Q692" s="116"/>
      <c r="Z692" s="117"/>
      <c r="AA692" s="117"/>
      <c r="AB692" s="117"/>
      <c r="AC692" s="117"/>
      <c r="AK692" s="113"/>
      <c r="AL692" s="113"/>
      <c r="AM692" s="113"/>
      <c r="AN692" s="118"/>
      <c r="AO692" s="118"/>
      <c r="AP692" s="118"/>
      <c r="AQ692" s="118"/>
    </row>
    <row r="693" spans="2:43" ht="15.75" customHeight="1">
      <c r="B693" s="113"/>
      <c r="E693" s="114"/>
      <c r="Q693" s="116"/>
      <c r="Z693" s="117"/>
      <c r="AA693" s="117"/>
      <c r="AB693" s="117"/>
      <c r="AC693" s="117"/>
      <c r="AK693" s="113"/>
      <c r="AL693" s="113"/>
      <c r="AM693" s="113"/>
      <c r="AN693" s="118"/>
      <c r="AO693" s="118"/>
      <c r="AP693" s="118"/>
      <c r="AQ693" s="118"/>
    </row>
    <row r="694" spans="2:43" ht="15.75" customHeight="1">
      <c r="B694" s="113"/>
      <c r="E694" s="114"/>
      <c r="Q694" s="116"/>
      <c r="Z694" s="117"/>
      <c r="AA694" s="117"/>
      <c r="AB694" s="117"/>
      <c r="AC694" s="117"/>
      <c r="AK694" s="113"/>
      <c r="AL694" s="113"/>
      <c r="AM694" s="113"/>
      <c r="AN694" s="118"/>
      <c r="AO694" s="118"/>
      <c r="AP694" s="118"/>
      <c r="AQ694" s="118"/>
    </row>
    <row r="695" spans="2:43" ht="15.75" customHeight="1">
      <c r="B695" s="113"/>
      <c r="E695" s="114"/>
      <c r="Q695" s="116"/>
      <c r="Z695" s="117"/>
      <c r="AA695" s="117"/>
      <c r="AB695" s="117"/>
      <c r="AC695" s="117"/>
      <c r="AK695" s="113"/>
      <c r="AL695" s="113"/>
      <c r="AM695" s="113"/>
      <c r="AN695" s="118"/>
      <c r="AO695" s="118"/>
      <c r="AP695" s="118"/>
      <c r="AQ695" s="118"/>
    </row>
    <row r="696" spans="2:43" ht="15.75" customHeight="1">
      <c r="B696" s="113"/>
      <c r="E696" s="114"/>
      <c r="Q696" s="116"/>
      <c r="Z696" s="117"/>
      <c r="AA696" s="117"/>
      <c r="AB696" s="117"/>
      <c r="AC696" s="117"/>
      <c r="AK696" s="113"/>
      <c r="AL696" s="113"/>
      <c r="AM696" s="113"/>
      <c r="AN696" s="118"/>
      <c r="AO696" s="118"/>
      <c r="AP696" s="118"/>
      <c r="AQ696" s="118"/>
    </row>
    <row r="697" spans="2:43" ht="15.75" customHeight="1">
      <c r="B697" s="113"/>
      <c r="E697" s="114"/>
      <c r="Q697" s="116"/>
      <c r="Z697" s="117"/>
      <c r="AA697" s="117"/>
      <c r="AB697" s="117"/>
      <c r="AC697" s="117"/>
      <c r="AK697" s="113"/>
      <c r="AL697" s="113"/>
      <c r="AM697" s="113"/>
      <c r="AN697" s="118"/>
      <c r="AO697" s="118"/>
      <c r="AP697" s="118"/>
      <c r="AQ697" s="118"/>
    </row>
    <row r="698" spans="2:43" ht="15.75" customHeight="1">
      <c r="B698" s="113"/>
      <c r="E698" s="114"/>
      <c r="Q698" s="116"/>
      <c r="Z698" s="117"/>
      <c r="AA698" s="117"/>
      <c r="AB698" s="117"/>
      <c r="AC698" s="117"/>
      <c r="AK698" s="113"/>
      <c r="AL698" s="113"/>
      <c r="AM698" s="113"/>
      <c r="AN698" s="118"/>
      <c r="AO698" s="118"/>
      <c r="AP698" s="118"/>
      <c r="AQ698" s="118"/>
    </row>
    <row r="699" spans="2:43" ht="15.75" customHeight="1">
      <c r="B699" s="113"/>
      <c r="E699" s="114"/>
      <c r="Q699" s="116"/>
      <c r="Z699" s="117"/>
      <c r="AA699" s="117"/>
      <c r="AB699" s="117"/>
      <c r="AC699" s="117"/>
      <c r="AK699" s="113"/>
      <c r="AL699" s="113"/>
      <c r="AM699" s="113"/>
      <c r="AN699" s="118"/>
      <c r="AO699" s="118"/>
      <c r="AP699" s="118"/>
      <c r="AQ699" s="118"/>
    </row>
    <row r="700" spans="2:43" ht="15.75" customHeight="1">
      <c r="B700" s="113"/>
      <c r="E700" s="114"/>
      <c r="Q700" s="116"/>
      <c r="Z700" s="117"/>
      <c r="AA700" s="117"/>
      <c r="AB700" s="117"/>
      <c r="AC700" s="117"/>
      <c r="AK700" s="113"/>
      <c r="AL700" s="113"/>
      <c r="AM700" s="113"/>
      <c r="AN700" s="118"/>
      <c r="AO700" s="118"/>
      <c r="AP700" s="118"/>
      <c r="AQ700" s="118"/>
    </row>
    <row r="701" spans="2:43" ht="15.75" customHeight="1">
      <c r="B701" s="113"/>
      <c r="E701" s="114"/>
      <c r="Q701" s="116"/>
      <c r="Z701" s="117"/>
      <c r="AA701" s="117"/>
      <c r="AB701" s="117"/>
      <c r="AC701" s="117"/>
      <c r="AK701" s="113"/>
      <c r="AL701" s="113"/>
      <c r="AM701" s="113"/>
      <c r="AN701" s="118"/>
      <c r="AO701" s="118"/>
      <c r="AP701" s="118"/>
      <c r="AQ701" s="118"/>
    </row>
    <row r="702" spans="2:43" ht="15.75" customHeight="1">
      <c r="B702" s="113"/>
      <c r="E702" s="114"/>
      <c r="Q702" s="116"/>
      <c r="Z702" s="117"/>
      <c r="AA702" s="117"/>
      <c r="AB702" s="117"/>
      <c r="AC702" s="117"/>
      <c r="AK702" s="113"/>
      <c r="AL702" s="113"/>
      <c r="AM702" s="113"/>
      <c r="AN702" s="118"/>
      <c r="AO702" s="118"/>
      <c r="AP702" s="118"/>
      <c r="AQ702" s="118"/>
    </row>
    <row r="703" spans="2:43" ht="15.75" customHeight="1">
      <c r="B703" s="113"/>
      <c r="E703" s="114"/>
      <c r="Q703" s="116"/>
      <c r="Z703" s="117"/>
      <c r="AA703" s="117"/>
      <c r="AB703" s="117"/>
      <c r="AC703" s="117"/>
      <c r="AK703" s="113"/>
      <c r="AL703" s="113"/>
      <c r="AM703" s="113"/>
      <c r="AN703" s="118"/>
      <c r="AO703" s="118"/>
      <c r="AP703" s="118"/>
      <c r="AQ703" s="118"/>
    </row>
    <row r="704" spans="2:43" ht="15.75" customHeight="1">
      <c r="B704" s="113"/>
      <c r="E704" s="114"/>
      <c r="Q704" s="116"/>
      <c r="Z704" s="117"/>
      <c r="AA704" s="117"/>
      <c r="AB704" s="117"/>
      <c r="AC704" s="117"/>
      <c r="AK704" s="113"/>
      <c r="AL704" s="113"/>
      <c r="AM704" s="113"/>
      <c r="AN704" s="118"/>
      <c r="AO704" s="118"/>
      <c r="AP704" s="118"/>
      <c r="AQ704" s="118"/>
    </row>
    <row r="705" spans="2:43" ht="15.75" customHeight="1">
      <c r="B705" s="113"/>
      <c r="E705" s="114"/>
      <c r="Q705" s="116"/>
      <c r="Z705" s="117"/>
      <c r="AA705" s="117"/>
      <c r="AB705" s="117"/>
      <c r="AC705" s="117"/>
      <c r="AK705" s="113"/>
      <c r="AL705" s="113"/>
      <c r="AM705" s="113"/>
      <c r="AN705" s="118"/>
      <c r="AO705" s="118"/>
      <c r="AP705" s="118"/>
      <c r="AQ705" s="118"/>
    </row>
    <row r="706" spans="2:43" ht="15.75" customHeight="1">
      <c r="B706" s="113"/>
      <c r="E706" s="114"/>
      <c r="Q706" s="116"/>
      <c r="Z706" s="117"/>
      <c r="AA706" s="117"/>
      <c r="AB706" s="117"/>
      <c r="AC706" s="117"/>
      <c r="AK706" s="113"/>
      <c r="AL706" s="113"/>
      <c r="AM706" s="113"/>
      <c r="AN706" s="118"/>
      <c r="AO706" s="118"/>
      <c r="AP706" s="118"/>
      <c r="AQ706" s="118"/>
    </row>
    <row r="707" spans="2:43" ht="15.75" customHeight="1">
      <c r="B707" s="113"/>
      <c r="E707" s="114"/>
      <c r="Q707" s="116"/>
      <c r="Z707" s="117"/>
      <c r="AA707" s="117"/>
      <c r="AB707" s="117"/>
      <c r="AC707" s="117"/>
      <c r="AK707" s="113"/>
      <c r="AL707" s="113"/>
      <c r="AM707" s="113"/>
      <c r="AN707" s="118"/>
      <c r="AO707" s="118"/>
      <c r="AP707" s="118"/>
      <c r="AQ707" s="118"/>
    </row>
    <row r="708" spans="2:43" ht="15.75" customHeight="1">
      <c r="B708" s="113"/>
      <c r="E708" s="114"/>
      <c r="Q708" s="116"/>
      <c r="Z708" s="117"/>
      <c r="AA708" s="117"/>
      <c r="AB708" s="117"/>
      <c r="AC708" s="117"/>
      <c r="AK708" s="113"/>
      <c r="AL708" s="113"/>
      <c r="AM708" s="113"/>
      <c r="AN708" s="118"/>
      <c r="AO708" s="118"/>
      <c r="AP708" s="118"/>
      <c r="AQ708" s="118"/>
    </row>
    <row r="709" spans="2:43" ht="15.75" customHeight="1">
      <c r="B709" s="113"/>
      <c r="E709" s="114"/>
      <c r="Q709" s="116"/>
      <c r="Z709" s="117"/>
      <c r="AA709" s="117"/>
      <c r="AB709" s="117"/>
      <c r="AC709" s="117"/>
      <c r="AK709" s="113"/>
      <c r="AL709" s="113"/>
      <c r="AM709" s="113"/>
      <c r="AN709" s="118"/>
      <c r="AO709" s="118"/>
      <c r="AP709" s="118"/>
      <c r="AQ709" s="118"/>
    </row>
    <row r="710" spans="2:43" ht="15.75" customHeight="1">
      <c r="B710" s="113"/>
      <c r="E710" s="114"/>
      <c r="Q710" s="116"/>
      <c r="Z710" s="117"/>
      <c r="AA710" s="117"/>
      <c r="AB710" s="117"/>
      <c r="AC710" s="117"/>
      <c r="AK710" s="113"/>
      <c r="AL710" s="113"/>
      <c r="AM710" s="113"/>
      <c r="AN710" s="118"/>
      <c r="AO710" s="118"/>
      <c r="AP710" s="118"/>
      <c r="AQ710" s="118"/>
    </row>
    <row r="711" spans="2:43" ht="15.75" customHeight="1">
      <c r="B711" s="113"/>
      <c r="E711" s="114"/>
      <c r="Q711" s="116"/>
      <c r="Z711" s="117"/>
      <c r="AA711" s="117"/>
      <c r="AB711" s="117"/>
      <c r="AC711" s="117"/>
      <c r="AK711" s="113"/>
      <c r="AL711" s="113"/>
      <c r="AM711" s="113"/>
      <c r="AN711" s="118"/>
      <c r="AO711" s="118"/>
      <c r="AP711" s="118"/>
      <c r="AQ711" s="118"/>
    </row>
    <row r="712" spans="2:43" ht="15.75" customHeight="1">
      <c r="B712" s="113"/>
      <c r="E712" s="114"/>
      <c r="Q712" s="116"/>
      <c r="Z712" s="117"/>
      <c r="AA712" s="117"/>
      <c r="AB712" s="117"/>
      <c r="AC712" s="117"/>
      <c r="AK712" s="113"/>
      <c r="AL712" s="113"/>
      <c r="AM712" s="113"/>
      <c r="AN712" s="118"/>
      <c r="AO712" s="118"/>
      <c r="AP712" s="118"/>
      <c r="AQ712" s="118"/>
    </row>
    <row r="713" spans="2:43" ht="15.75" customHeight="1">
      <c r="B713" s="113"/>
      <c r="E713" s="114"/>
      <c r="Q713" s="116"/>
      <c r="Z713" s="117"/>
      <c r="AA713" s="117"/>
      <c r="AB713" s="117"/>
      <c r="AC713" s="117"/>
      <c r="AK713" s="113"/>
      <c r="AL713" s="113"/>
      <c r="AM713" s="113"/>
      <c r="AN713" s="118"/>
      <c r="AO713" s="118"/>
      <c r="AP713" s="118"/>
      <c r="AQ713" s="118"/>
    </row>
    <row r="714" spans="2:43" ht="15.75" customHeight="1">
      <c r="B714" s="113"/>
      <c r="E714" s="114"/>
      <c r="Q714" s="116"/>
      <c r="Z714" s="117"/>
      <c r="AA714" s="117"/>
      <c r="AB714" s="117"/>
      <c r="AC714" s="117"/>
      <c r="AK714" s="113"/>
      <c r="AL714" s="113"/>
      <c r="AM714" s="113"/>
      <c r="AN714" s="118"/>
      <c r="AO714" s="118"/>
      <c r="AP714" s="118"/>
      <c r="AQ714" s="118"/>
    </row>
    <row r="715" spans="2:43" ht="15.75" customHeight="1">
      <c r="B715" s="113"/>
      <c r="E715" s="114"/>
      <c r="Q715" s="116"/>
      <c r="Z715" s="117"/>
      <c r="AA715" s="117"/>
      <c r="AB715" s="117"/>
      <c r="AC715" s="117"/>
      <c r="AK715" s="113"/>
      <c r="AL715" s="113"/>
      <c r="AM715" s="113"/>
      <c r="AN715" s="118"/>
      <c r="AO715" s="118"/>
      <c r="AP715" s="118"/>
      <c r="AQ715" s="118"/>
    </row>
    <row r="716" spans="2:43" ht="15.75" customHeight="1">
      <c r="B716" s="113"/>
      <c r="E716" s="114"/>
      <c r="Q716" s="116"/>
      <c r="Z716" s="117"/>
      <c r="AA716" s="117"/>
      <c r="AB716" s="117"/>
      <c r="AC716" s="117"/>
      <c r="AK716" s="113"/>
      <c r="AL716" s="113"/>
      <c r="AM716" s="113"/>
      <c r="AN716" s="118"/>
      <c r="AO716" s="118"/>
      <c r="AP716" s="118"/>
      <c r="AQ716" s="118"/>
    </row>
    <row r="717" spans="2:43" ht="15.75" customHeight="1">
      <c r="B717" s="113"/>
      <c r="E717" s="114"/>
      <c r="Q717" s="116"/>
      <c r="Z717" s="117"/>
      <c r="AA717" s="117"/>
      <c r="AB717" s="117"/>
      <c r="AC717" s="117"/>
      <c r="AK717" s="113"/>
      <c r="AL717" s="113"/>
      <c r="AM717" s="113"/>
      <c r="AN717" s="118"/>
      <c r="AO717" s="118"/>
      <c r="AP717" s="118"/>
      <c r="AQ717" s="118"/>
    </row>
    <row r="718" spans="2:43" ht="15.75" customHeight="1">
      <c r="B718" s="113"/>
      <c r="E718" s="114"/>
      <c r="Q718" s="116"/>
      <c r="Z718" s="117"/>
      <c r="AA718" s="117"/>
      <c r="AB718" s="117"/>
      <c r="AC718" s="117"/>
      <c r="AK718" s="113"/>
      <c r="AL718" s="113"/>
      <c r="AM718" s="113"/>
      <c r="AN718" s="118"/>
      <c r="AO718" s="118"/>
      <c r="AP718" s="118"/>
      <c r="AQ718" s="118"/>
    </row>
    <row r="719" spans="2:43" ht="15.75" customHeight="1">
      <c r="B719" s="113"/>
      <c r="E719" s="114"/>
      <c r="Q719" s="116"/>
      <c r="Z719" s="117"/>
      <c r="AA719" s="117"/>
      <c r="AB719" s="117"/>
      <c r="AC719" s="117"/>
      <c r="AK719" s="113"/>
      <c r="AL719" s="113"/>
      <c r="AM719" s="113"/>
      <c r="AN719" s="118"/>
      <c r="AO719" s="118"/>
      <c r="AP719" s="118"/>
      <c r="AQ719" s="118"/>
    </row>
    <row r="720" spans="2:43" ht="15.75" customHeight="1">
      <c r="B720" s="113"/>
      <c r="E720" s="114"/>
      <c r="Q720" s="116"/>
      <c r="Z720" s="117"/>
      <c r="AA720" s="117"/>
      <c r="AB720" s="117"/>
      <c r="AC720" s="117"/>
      <c r="AK720" s="113"/>
      <c r="AL720" s="113"/>
      <c r="AM720" s="113"/>
      <c r="AN720" s="118"/>
      <c r="AO720" s="118"/>
      <c r="AP720" s="118"/>
      <c r="AQ720" s="118"/>
    </row>
    <row r="721" spans="2:43" ht="15.75" customHeight="1">
      <c r="B721" s="113"/>
      <c r="E721" s="114"/>
      <c r="Q721" s="116"/>
      <c r="Z721" s="117"/>
      <c r="AA721" s="117"/>
      <c r="AB721" s="117"/>
      <c r="AC721" s="117"/>
      <c r="AK721" s="113"/>
      <c r="AL721" s="113"/>
      <c r="AM721" s="113"/>
      <c r="AN721" s="118"/>
      <c r="AO721" s="118"/>
      <c r="AP721" s="118"/>
      <c r="AQ721" s="118"/>
    </row>
    <row r="722" spans="2:43" ht="15.75" customHeight="1">
      <c r="B722" s="113"/>
      <c r="E722" s="114"/>
      <c r="Q722" s="116"/>
      <c r="Z722" s="117"/>
      <c r="AA722" s="117"/>
      <c r="AB722" s="117"/>
      <c r="AC722" s="117"/>
      <c r="AK722" s="113"/>
      <c r="AL722" s="113"/>
      <c r="AM722" s="113"/>
      <c r="AN722" s="118"/>
      <c r="AO722" s="118"/>
      <c r="AP722" s="118"/>
      <c r="AQ722" s="118"/>
    </row>
    <row r="723" spans="2:43" ht="15.75" customHeight="1">
      <c r="B723" s="113"/>
      <c r="E723" s="114"/>
      <c r="Q723" s="116"/>
      <c r="Z723" s="117"/>
      <c r="AA723" s="117"/>
      <c r="AB723" s="117"/>
      <c r="AC723" s="117"/>
      <c r="AK723" s="113"/>
      <c r="AL723" s="113"/>
      <c r="AM723" s="113"/>
      <c r="AN723" s="118"/>
      <c r="AO723" s="118"/>
      <c r="AP723" s="118"/>
      <c r="AQ723" s="118"/>
    </row>
    <row r="724" spans="2:43" ht="15.75" customHeight="1">
      <c r="B724" s="113"/>
      <c r="E724" s="114"/>
      <c r="Q724" s="116"/>
      <c r="Z724" s="117"/>
      <c r="AA724" s="117"/>
      <c r="AB724" s="117"/>
      <c r="AC724" s="117"/>
      <c r="AK724" s="113"/>
      <c r="AL724" s="113"/>
      <c r="AM724" s="113"/>
      <c r="AN724" s="118"/>
      <c r="AO724" s="118"/>
      <c r="AP724" s="118"/>
      <c r="AQ724" s="118"/>
    </row>
    <row r="725" spans="2:43" ht="15.75" customHeight="1">
      <c r="B725" s="113"/>
      <c r="E725" s="114"/>
      <c r="Q725" s="116"/>
      <c r="Z725" s="117"/>
      <c r="AA725" s="117"/>
      <c r="AB725" s="117"/>
      <c r="AC725" s="117"/>
      <c r="AK725" s="113"/>
      <c r="AL725" s="113"/>
      <c r="AM725" s="113"/>
      <c r="AN725" s="118"/>
      <c r="AO725" s="118"/>
      <c r="AP725" s="118"/>
      <c r="AQ725" s="118"/>
    </row>
    <row r="726" spans="2:43" ht="15.75" customHeight="1">
      <c r="B726" s="113"/>
      <c r="E726" s="114"/>
      <c r="Q726" s="116"/>
      <c r="Z726" s="117"/>
      <c r="AA726" s="117"/>
      <c r="AB726" s="117"/>
      <c r="AC726" s="117"/>
      <c r="AK726" s="113"/>
      <c r="AL726" s="113"/>
      <c r="AM726" s="113"/>
      <c r="AN726" s="118"/>
      <c r="AO726" s="118"/>
      <c r="AP726" s="118"/>
      <c r="AQ726" s="118"/>
    </row>
    <row r="727" spans="2:43" ht="15.75" customHeight="1">
      <c r="B727" s="113"/>
      <c r="E727" s="114"/>
      <c r="Q727" s="116"/>
      <c r="Z727" s="117"/>
      <c r="AA727" s="117"/>
      <c r="AB727" s="117"/>
      <c r="AC727" s="117"/>
      <c r="AK727" s="113"/>
      <c r="AL727" s="113"/>
      <c r="AM727" s="113"/>
      <c r="AN727" s="118"/>
      <c r="AO727" s="118"/>
      <c r="AP727" s="118"/>
      <c r="AQ727" s="118"/>
    </row>
    <row r="728" spans="2:43" ht="15.75" customHeight="1">
      <c r="B728" s="113"/>
      <c r="E728" s="114"/>
      <c r="Q728" s="116"/>
      <c r="Z728" s="117"/>
      <c r="AA728" s="117"/>
      <c r="AB728" s="117"/>
      <c r="AC728" s="117"/>
      <c r="AK728" s="113"/>
      <c r="AL728" s="113"/>
      <c r="AM728" s="113"/>
      <c r="AN728" s="118"/>
      <c r="AO728" s="118"/>
      <c r="AP728" s="118"/>
      <c r="AQ728" s="118"/>
    </row>
    <row r="729" spans="2:43" ht="15.75" customHeight="1">
      <c r="B729" s="113"/>
      <c r="E729" s="114"/>
      <c r="Q729" s="116"/>
      <c r="Z729" s="117"/>
      <c r="AA729" s="117"/>
      <c r="AB729" s="117"/>
      <c r="AC729" s="117"/>
      <c r="AK729" s="113"/>
      <c r="AL729" s="113"/>
      <c r="AM729" s="113"/>
      <c r="AN729" s="118"/>
      <c r="AO729" s="118"/>
      <c r="AP729" s="118"/>
      <c r="AQ729" s="118"/>
    </row>
    <row r="730" spans="2:43" ht="15.75" customHeight="1">
      <c r="B730" s="113"/>
      <c r="E730" s="114"/>
      <c r="Q730" s="116"/>
      <c r="Z730" s="117"/>
      <c r="AA730" s="117"/>
      <c r="AB730" s="117"/>
      <c r="AC730" s="117"/>
      <c r="AK730" s="113"/>
      <c r="AL730" s="113"/>
      <c r="AM730" s="113"/>
      <c r="AN730" s="118"/>
      <c r="AO730" s="118"/>
      <c r="AP730" s="118"/>
      <c r="AQ730" s="118"/>
    </row>
    <row r="731" spans="2:43" ht="15.75" customHeight="1">
      <c r="B731" s="113"/>
      <c r="E731" s="114"/>
      <c r="Q731" s="116"/>
      <c r="Z731" s="117"/>
      <c r="AA731" s="117"/>
      <c r="AB731" s="117"/>
      <c r="AC731" s="117"/>
      <c r="AK731" s="113"/>
      <c r="AL731" s="113"/>
      <c r="AM731" s="113"/>
      <c r="AN731" s="118"/>
      <c r="AO731" s="118"/>
      <c r="AP731" s="118"/>
      <c r="AQ731" s="118"/>
    </row>
    <row r="732" spans="2:43" ht="15.75" customHeight="1">
      <c r="B732" s="113"/>
      <c r="E732" s="114"/>
      <c r="Q732" s="116"/>
      <c r="Z732" s="117"/>
      <c r="AA732" s="117"/>
      <c r="AB732" s="117"/>
      <c r="AC732" s="117"/>
      <c r="AK732" s="113"/>
      <c r="AL732" s="113"/>
      <c r="AM732" s="113"/>
      <c r="AN732" s="118"/>
      <c r="AO732" s="118"/>
      <c r="AP732" s="118"/>
      <c r="AQ732" s="118"/>
    </row>
    <row r="733" spans="2:43" ht="15.75" customHeight="1">
      <c r="B733" s="113"/>
      <c r="E733" s="114"/>
      <c r="Q733" s="116"/>
      <c r="Z733" s="117"/>
      <c r="AA733" s="117"/>
      <c r="AB733" s="117"/>
      <c r="AC733" s="117"/>
      <c r="AK733" s="113"/>
      <c r="AL733" s="113"/>
      <c r="AM733" s="113"/>
      <c r="AN733" s="118"/>
      <c r="AO733" s="118"/>
      <c r="AP733" s="118"/>
      <c r="AQ733" s="118"/>
    </row>
    <row r="734" spans="2:43" ht="15.75" customHeight="1">
      <c r="B734" s="113"/>
      <c r="E734" s="114"/>
      <c r="Q734" s="116"/>
      <c r="Z734" s="117"/>
      <c r="AA734" s="117"/>
      <c r="AB734" s="117"/>
      <c r="AC734" s="117"/>
      <c r="AK734" s="113"/>
      <c r="AL734" s="113"/>
      <c r="AM734" s="113"/>
      <c r="AN734" s="118"/>
      <c r="AO734" s="118"/>
      <c r="AP734" s="118"/>
      <c r="AQ734" s="118"/>
    </row>
    <row r="735" spans="2:43" ht="15.75" customHeight="1">
      <c r="B735" s="113"/>
      <c r="E735" s="114"/>
      <c r="Q735" s="116"/>
      <c r="Z735" s="117"/>
      <c r="AA735" s="117"/>
      <c r="AB735" s="117"/>
      <c r="AC735" s="117"/>
      <c r="AK735" s="113"/>
      <c r="AL735" s="113"/>
      <c r="AM735" s="113"/>
      <c r="AN735" s="118"/>
      <c r="AO735" s="118"/>
      <c r="AP735" s="118"/>
      <c r="AQ735" s="118"/>
    </row>
    <row r="736" spans="2:43" ht="15.75" customHeight="1">
      <c r="B736" s="113"/>
      <c r="E736" s="114"/>
      <c r="Q736" s="116"/>
      <c r="Z736" s="117"/>
      <c r="AA736" s="117"/>
      <c r="AB736" s="117"/>
      <c r="AC736" s="117"/>
      <c r="AK736" s="113"/>
      <c r="AL736" s="113"/>
      <c r="AM736" s="113"/>
      <c r="AN736" s="118"/>
      <c r="AO736" s="118"/>
      <c r="AP736" s="118"/>
      <c r="AQ736" s="118"/>
    </row>
    <row r="737" spans="2:43" ht="15.75" customHeight="1">
      <c r="B737" s="113"/>
      <c r="E737" s="114"/>
      <c r="Q737" s="116"/>
      <c r="Z737" s="117"/>
      <c r="AA737" s="117"/>
      <c r="AB737" s="117"/>
      <c r="AC737" s="117"/>
      <c r="AK737" s="113"/>
      <c r="AL737" s="113"/>
      <c r="AM737" s="113"/>
      <c r="AN737" s="118"/>
      <c r="AO737" s="118"/>
      <c r="AP737" s="118"/>
      <c r="AQ737" s="118"/>
    </row>
    <row r="738" spans="2:43" ht="15.75" customHeight="1">
      <c r="B738" s="113"/>
      <c r="E738" s="114"/>
      <c r="Q738" s="116"/>
      <c r="Z738" s="117"/>
      <c r="AA738" s="117"/>
      <c r="AB738" s="117"/>
      <c r="AC738" s="117"/>
      <c r="AK738" s="113"/>
      <c r="AL738" s="113"/>
      <c r="AM738" s="113"/>
      <c r="AN738" s="118"/>
      <c r="AO738" s="118"/>
      <c r="AP738" s="118"/>
      <c r="AQ738" s="118"/>
    </row>
    <row r="739" spans="2:43" ht="15.75" customHeight="1">
      <c r="B739" s="113"/>
      <c r="E739" s="114"/>
      <c r="Q739" s="116"/>
      <c r="Z739" s="117"/>
      <c r="AA739" s="117"/>
      <c r="AB739" s="117"/>
      <c r="AC739" s="117"/>
      <c r="AK739" s="113"/>
      <c r="AL739" s="113"/>
      <c r="AM739" s="113"/>
      <c r="AN739" s="118"/>
      <c r="AO739" s="118"/>
      <c r="AP739" s="118"/>
      <c r="AQ739" s="118"/>
    </row>
    <row r="740" spans="2:43" ht="15.75" customHeight="1">
      <c r="B740" s="113"/>
      <c r="E740" s="114"/>
      <c r="Q740" s="116"/>
      <c r="Z740" s="117"/>
      <c r="AA740" s="117"/>
      <c r="AB740" s="117"/>
      <c r="AC740" s="117"/>
      <c r="AK740" s="113"/>
      <c r="AL740" s="113"/>
      <c r="AM740" s="113"/>
      <c r="AN740" s="118"/>
      <c r="AO740" s="118"/>
      <c r="AP740" s="118"/>
      <c r="AQ740" s="118"/>
    </row>
    <row r="741" spans="2:43" ht="15.75" customHeight="1">
      <c r="B741" s="113"/>
      <c r="E741" s="114"/>
      <c r="Q741" s="116"/>
      <c r="Z741" s="117"/>
      <c r="AA741" s="117"/>
      <c r="AB741" s="117"/>
      <c r="AC741" s="117"/>
      <c r="AK741" s="113"/>
      <c r="AL741" s="113"/>
      <c r="AM741" s="113"/>
      <c r="AN741" s="118"/>
      <c r="AO741" s="118"/>
      <c r="AP741" s="118"/>
      <c r="AQ741" s="118"/>
    </row>
    <row r="742" spans="2:43" ht="15.75" customHeight="1">
      <c r="B742" s="113"/>
      <c r="E742" s="114"/>
      <c r="Q742" s="116"/>
      <c r="Z742" s="117"/>
      <c r="AA742" s="117"/>
      <c r="AB742" s="117"/>
      <c r="AC742" s="117"/>
      <c r="AK742" s="113"/>
      <c r="AL742" s="113"/>
      <c r="AM742" s="113"/>
      <c r="AN742" s="118"/>
      <c r="AO742" s="118"/>
      <c r="AP742" s="118"/>
      <c r="AQ742" s="118"/>
    </row>
    <row r="743" spans="2:43" ht="15.75" customHeight="1">
      <c r="B743" s="113"/>
      <c r="E743" s="114"/>
      <c r="Q743" s="116"/>
      <c r="Z743" s="117"/>
      <c r="AA743" s="117"/>
      <c r="AB743" s="117"/>
      <c r="AC743" s="117"/>
      <c r="AK743" s="113"/>
      <c r="AL743" s="113"/>
      <c r="AM743" s="113"/>
      <c r="AN743" s="118"/>
      <c r="AO743" s="118"/>
      <c r="AP743" s="118"/>
      <c r="AQ743" s="118"/>
    </row>
    <row r="744" spans="2:43" ht="15.75" customHeight="1">
      <c r="B744" s="113"/>
      <c r="E744" s="114"/>
      <c r="Q744" s="116"/>
      <c r="Z744" s="117"/>
      <c r="AA744" s="117"/>
      <c r="AB744" s="117"/>
      <c r="AC744" s="117"/>
      <c r="AK744" s="113"/>
      <c r="AL744" s="113"/>
      <c r="AM744" s="113"/>
      <c r="AN744" s="118"/>
      <c r="AO744" s="118"/>
      <c r="AP744" s="118"/>
      <c r="AQ744" s="118"/>
    </row>
    <row r="745" spans="2:43" ht="15.75" customHeight="1">
      <c r="B745" s="113"/>
      <c r="E745" s="114"/>
      <c r="Q745" s="116"/>
      <c r="Z745" s="117"/>
      <c r="AA745" s="117"/>
      <c r="AB745" s="117"/>
      <c r="AC745" s="117"/>
      <c r="AK745" s="113"/>
      <c r="AL745" s="113"/>
      <c r="AM745" s="113"/>
      <c r="AN745" s="118"/>
      <c r="AO745" s="118"/>
      <c r="AP745" s="118"/>
      <c r="AQ745" s="118"/>
    </row>
    <row r="746" spans="2:43" ht="15.75" customHeight="1">
      <c r="B746" s="113"/>
      <c r="E746" s="114"/>
      <c r="Q746" s="116"/>
      <c r="Z746" s="117"/>
      <c r="AA746" s="117"/>
      <c r="AB746" s="117"/>
      <c r="AC746" s="117"/>
      <c r="AK746" s="113"/>
      <c r="AL746" s="113"/>
      <c r="AM746" s="113"/>
      <c r="AN746" s="118"/>
      <c r="AO746" s="118"/>
      <c r="AP746" s="118"/>
      <c r="AQ746" s="118"/>
    </row>
    <row r="747" spans="2:43" ht="15.75" customHeight="1">
      <c r="B747" s="113"/>
      <c r="E747" s="114"/>
      <c r="Q747" s="116"/>
      <c r="Z747" s="117"/>
      <c r="AA747" s="117"/>
      <c r="AB747" s="117"/>
      <c r="AC747" s="117"/>
      <c r="AK747" s="113"/>
      <c r="AL747" s="113"/>
      <c r="AM747" s="113"/>
      <c r="AN747" s="118"/>
      <c r="AO747" s="118"/>
      <c r="AP747" s="118"/>
      <c r="AQ747" s="118"/>
    </row>
    <row r="748" spans="2:43" ht="15.75" customHeight="1">
      <c r="B748" s="113"/>
      <c r="E748" s="114"/>
      <c r="Q748" s="116"/>
      <c r="Z748" s="117"/>
      <c r="AA748" s="117"/>
      <c r="AB748" s="117"/>
      <c r="AC748" s="117"/>
      <c r="AK748" s="113"/>
      <c r="AL748" s="113"/>
      <c r="AM748" s="113"/>
      <c r="AN748" s="118"/>
      <c r="AO748" s="118"/>
      <c r="AP748" s="118"/>
      <c r="AQ748" s="118"/>
    </row>
    <row r="749" spans="2:43" ht="15.75" customHeight="1">
      <c r="B749" s="113"/>
      <c r="E749" s="114"/>
      <c r="Q749" s="116"/>
      <c r="Z749" s="117"/>
      <c r="AA749" s="117"/>
      <c r="AB749" s="117"/>
      <c r="AC749" s="117"/>
      <c r="AK749" s="113"/>
      <c r="AL749" s="113"/>
      <c r="AM749" s="113"/>
      <c r="AN749" s="118"/>
      <c r="AO749" s="118"/>
      <c r="AP749" s="118"/>
      <c r="AQ749" s="118"/>
    </row>
    <row r="750" spans="2:43" ht="15.75" customHeight="1">
      <c r="B750" s="113"/>
      <c r="E750" s="114"/>
      <c r="Q750" s="116"/>
      <c r="Z750" s="117"/>
      <c r="AA750" s="117"/>
      <c r="AB750" s="117"/>
      <c r="AC750" s="117"/>
      <c r="AK750" s="113"/>
      <c r="AL750" s="113"/>
      <c r="AM750" s="113"/>
      <c r="AN750" s="118"/>
      <c r="AO750" s="118"/>
      <c r="AP750" s="118"/>
      <c r="AQ750" s="118"/>
    </row>
    <row r="751" spans="2:43" ht="15.75" customHeight="1">
      <c r="B751" s="113"/>
      <c r="E751" s="114"/>
      <c r="Q751" s="116"/>
      <c r="Z751" s="117"/>
      <c r="AA751" s="117"/>
      <c r="AB751" s="117"/>
      <c r="AC751" s="117"/>
      <c r="AK751" s="113"/>
      <c r="AL751" s="113"/>
      <c r="AM751" s="113"/>
      <c r="AN751" s="118"/>
      <c r="AO751" s="118"/>
      <c r="AP751" s="118"/>
      <c r="AQ751" s="118"/>
    </row>
    <row r="752" spans="2:43" ht="15.75" customHeight="1">
      <c r="B752" s="113"/>
      <c r="E752" s="114"/>
      <c r="Q752" s="116"/>
      <c r="Z752" s="117"/>
      <c r="AA752" s="117"/>
      <c r="AB752" s="117"/>
      <c r="AC752" s="117"/>
      <c r="AK752" s="113"/>
      <c r="AL752" s="113"/>
      <c r="AM752" s="113"/>
      <c r="AN752" s="118"/>
      <c r="AO752" s="118"/>
      <c r="AP752" s="118"/>
      <c r="AQ752" s="118"/>
    </row>
    <row r="753" spans="2:43" ht="15.75" customHeight="1">
      <c r="B753" s="113"/>
      <c r="E753" s="114"/>
      <c r="Q753" s="116"/>
      <c r="Z753" s="117"/>
      <c r="AA753" s="117"/>
      <c r="AB753" s="117"/>
      <c r="AC753" s="117"/>
      <c r="AK753" s="113"/>
      <c r="AL753" s="113"/>
      <c r="AM753" s="113"/>
      <c r="AN753" s="118"/>
      <c r="AO753" s="118"/>
      <c r="AP753" s="118"/>
      <c r="AQ753" s="118"/>
    </row>
    <row r="754" spans="2:43" ht="15.75" customHeight="1">
      <c r="B754" s="113"/>
      <c r="E754" s="114"/>
      <c r="Q754" s="116"/>
      <c r="Z754" s="117"/>
      <c r="AA754" s="117"/>
      <c r="AB754" s="117"/>
      <c r="AC754" s="117"/>
      <c r="AK754" s="113"/>
      <c r="AL754" s="113"/>
      <c r="AM754" s="113"/>
      <c r="AN754" s="118"/>
      <c r="AO754" s="118"/>
      <c r="AP754" s="118"/>
      <c r="AQ754" s="118"/>
    </row>
    <row r="755" spans="2:43" ht="15.75" customHeight="1">
      <c r="B755" s="113"/>
      <c r="E755" s="114"/>
      <c r="Q755" s="116"/>
      <c r="Z755" s="117"/>
      <c r="AA755" s="117"/>
      <c r="AB755" s="117"/>
      <c r="AC755" s="117"/>
      <c r="AK755" s="113"/>
      <c r="AL755" s="113"/>
      <c r="AM755" s="113"/>
      <c r="AN755" s="118"/>
      <c r="AO755" s="118"/>
      <c r="AP755" s="118"/>
      <c r="AQ755" s="118"/>
    </row>
    <row r="756" spans="2:43" ht="15.75" customHeight="1">
      <c r="B756" s="113"/>
      <c r="E756" s="114"/>
      <c r="Q756" s="116"/>
      <c r="Z756" s="117"/>
      <c r="AA756" s="117"/>
      <c r="AB756" s="117"/>
      <c r="AC756" s="117"/>
      <c r="AK756" s="113"/>
      <c r="AL756" s="113"/>
      <c r="AM756" s="113"/>
      <c r="AN756" s="118"/>
      <c r="AO756" s="118"/>
      <c r="AP756" s="118"/>
      <c r="AQ756" s="118"/>
    </row>
    <row r="757" spans="2:43" ht="15.75" customHeight="1">
      <c r="B757" s="113"/>
      <c r="E757" s="114"/>
      <c r="Q757" s="116"/>
      <c r="Z757" s="117"/>
      <c r="AA757" s="117"/>
      <c r="AB757" s="117"/>
      <c r="AC757" s="117"/>
      <c r="AK757" s="113"/>
      <c r="AL757" s="113"/>
      <c r="AM757" s="113"/>
      <c r="AN757" s="118"/>
      <c r="AO757" s="118"/>
      <c r="AP757" s="118"/>
      <c r="AQ757" s="118"/>
    </row>
    <row r="758" spans="2:43" ht="15.75" customHeight="1">
      <c r="B758" s="113"/>
      <c r="E758" s="114"/>
      <c r="Q758" s="116"/>
      <c r="Z758" s="117"/>
      <c r="AA758" s="117"/>
      <c r="AB758" s="117"/>
      <c r="AC758" s="117"/>
      <c r="AK758" s="113"/>
      <c r="AL758" s="113"/>
      <c r="AM758" s="113"/>
      <c r="AN758" s="118"/>
      <c r="AO758" s="118"/>
      <c r="AP758" s="118"/>
      <c r="AQ758" s="118"/>
    </row>
    <row r="759" spans="2:43" ht="15.75" customHeight="1">
      <c r="B759" s="113"/>
      <c r="E759" s="114"/>
      <c r="Q759" s="116"/>
      <c r="Z759" s="117"/>
      <c r="AA759" s="117"/>
      <c r="AB759" s="117"/>
      <c r="AC759" s="117"/>
      <c r="AK759" s="113"/>
      <c r="AL759" s="113"/>
      <c r="AM759" s="113"/>
      <c r="AN759" s="118"/>
      <c r="AO759" s="118"/>
      <c r="AP759" s="118"/>
      <c r="AQ759" s="118"/>
    </row>
    <row r="760" spans="2:43" ht="15.75" customHeight="1">
      <c r="B760" s="113"/>
      <c r="E760" s="114"/>
      <c r="Q760" s="116"/>
      <c r="Z760" s="117"/>
      <c r="AA760" s="117"/>
      <c r="AB760" s="117"/>
      <c r="AC760" s="117"/>
      <c r="AK760" s="113"/>
      <c r="AL760" s="113"/>
      <c r="AM760" s="113"/>
      <c r="AN760" s="118"/>
      <c r="AO760" s="118"/>
      <c r="AP760" s="118"/>
      <c r="AQ760" s="118"/>
    </row>
    <row r="761" spans="2:43" ht="15.75" customHeight="1">
      <c r="B761" s="113"/>
      <c r="E761" s="114"/>
      <c r="Q761" s="116"/>
      <c r="Z761" s="117"/>
      <c r="AA761" s="117"/>
      <c r="AB761" s="117"/>
      <c r="AC761" s="117"/>
      <c r="AK761" s="113"/>
      <c r="AL761" s="113"/>
      <c r="AM761" s="113"/>
      <c r="AN761" s="118"/>
      <c r="AO761" s="118"/>
      <c r="AP761" s="118"/>
      <c r="AQ761" s="118"/>
    </row>
    <row r="762" spans="2:43" ht="15.75" customHeight="1">
      <c r="B762" s="113"/>
      <c r="E762" s="114"/>
      <c r="Q762" s="116"/>
      <c r="Z762" s="117"/>
      <c r="AA762" s="117"/>
      <c r="AB762" s="117"/>
      <c r="AC762" s="117"/>
      <c r="AK762" s="113"/>
      <c r="AL762" s="113"/>
      <c r="AM762" s="113"/>
      <c r="AN762" s="118"/>
      <c r="AO762" s="118"/>
      <c r="AP762" s="118"/>
      <c r="AQ762" s="118"/>
    </row>
    <row r="763" spans="2:43" ht="15.75" customHeight="1">
      <c r="B763" s="113"/>
      <c r="E763" s="114"/>
      <c r="Q763" s="116"/>
      <c r="Z763" s="117"/>
      <c r="AA763" s="117"/>
      <c r="AB763" s="117"/>
      <c r="AC763" s="117"/>
      <c r="AK763" s="113"/>
      <c r="AL763" s="113"/>
      <c r="AM763" s="113"/>
      <c r="AN763" s="118"/>
      <c r="AO763" s="118"/>
      <c r="AP763" s="118"/>
      <c r="AQ763" s="118"/>
    </row>
    <row r="764" spans="2:43" ht="15.75" customHeight="1">
      <c r="B764" s="113"/>
      <c r="E764" s="114"/>
      <c r="Q764" s="116"/>
      <c r="Z764" s="117"/>
      <c r="AA764" s="117"/>
      <c r="AB764" s="117"/>
      <c r="AC764" s="117"/>
      <c r="AK764" s="113"/>
      <c r="AL764" s="113"/>
      <c r="AM764" s="113"/>
      <c r="AN764" s="118"/>
      <c r="AO764" s="118"/>
      <c r="AP764" s="118"/>
      <c r="AQ764" s="118"/>
    </row>
    <row r="765" spans="2:43" ht="15.75" customHeight="1">
      <c r="B765" s="113"/>
      <c r="E765" s="114"/>
      <c r="Q765" s="116"/>
      <c r="Z765" s="117"/>
      <c r="AA765" s="117"/>
      <c r="AB765" s="117"/>
      <c r="AC765" s="117"/>
      <c r="AK765" s="113"/>
      <c r="AL765" s="113"/>
      <c r="AM765" s="113"/>
      <c r="AN765" s="118"/>
      <c r="AO765" s="118"/>
      <c r="AP765" s="118"/>
      <c r="AQ765" s="118"/>
    </row>
    <row r="766" spans="2:43" ht="15.75" customHeight="1">
      <c r="B766" s="113"/>
      <c r="E766" s="114"/>
      <c r="Q766" s="116"/>
      <c r="Z766" s="117"/>
      <c r="AA766" s="117"/>
      <c r="AB766" s="117"/>
      <c r="AC766" s="117"/>
      <c r="AK766" s="113"/>
      <c r="AL766" s="113"/>
      <c r="AM766" s="113"/>
      <c r="AN766" s="118"/>
      <c r="AO766" s="118"/>
      <c r="AP766" s="118"/>
      <c r="AQ766" s="118"/>
    </row>
    <row r="767" spans="2:43" ht="15.75" customHeight="1">
      <c r="B767" s="113"/>
      <c r="E767" s="114"/>
      <c r="Q767" s="116"/>
      <c r="Z767" s="117"/>
      <c r="AA767" s="117"/>
      <c r="AB767" s="117"/>
      <c r="AC767" s="117"/>
      <c r="AK767" s="113"/>
      <c r="AL767" s="113"/>
      <c r="AM767" s="113"/>
      <c r="AN767" s="118"/>
      <c r="AO767" s="118"/>
      <c r="AP767" s="118"/>
      <c r="AQ767" s="118"/>
    </row>
    <row r="768" spans="2:43" ht="15.75" customHeight="1">
      <c r="B768" s="113"/>
      <c r="E768" s="114"/>
      <c r="Q768" s="116"/>
      <c r="Z768" s="117"/>
      <c r="AA768" s="117"/>
      <c r="AB768" s="117"/>
      <c r="AC768" s="117"/>
      <c r="AK768" s="113"/>
      <c r="AL768" s="113"/>
      <c r="AM768" s="113"/>
      <c r="AN768" s="118"/>
      <c r="AO768" s="118"/>
      <c r="AP768" s="118"/>
      <c r="AQ768" s="118"/>
    </row>
    <row r="769" spans="2:43" ht="15.75" customHeight="1">
      <c r="B769" s="113"/>
      <c r="E769" s="114"/>
      <c r="Q769" s="116"/>
      <c r="Z769" s="117"/>
      <c r="AA769" s="117"/>
      <c r="AB769" s="117"/>
      <c r="AC769" s="117"/>
      <c r="AK769" s="113"/>
      <c r="AL769" s="113"/>
      <c r="AM769" s="113"/>
      <c r="AN769" s="118"/>
      <c r="AO769" s="118"/>
      <c r="AP769" s="118"/>
      <c r="AQ769" s="118"/>
    </row>
    <row r="770" spans="2:43" ht="15.75" customHeight="1">
      <c r="B770" s="113"/>
      <c r="E770" s="114"/>
      <c r="Q770" s="116"/>
      <c r="Z770" s="117"/>
      <c r="AA770" s="117"/>
      <c r="AB770" s="117"/>
      <c r="AC770" s="117"/>
      <c r="AK770" s="113"/>
      <c r="AL770" s="113"/>
      <c r="AM770" s="113"/>
      <c r="AN770" s="118"/>
      <c r="AO770" s="118"/>
      <c r="AP770" s="118"/>
      <c r="AQ770" s="118"/>
    </row>
    <row r="771" spans="2:43" ht="15.75" customHeight="1">
      <c r="B771" s="113"/>
      <c r="E771" s="114"/>
      <c r="Q771" s="116"/>
      <c r="Z771" s="117"/>
      <c r="AA771" s="117"/>
      <c r="AB771" s="117"/>
      <c r="AC771" s="117"/>
      <c r="AK771" s="113"/>
      <c r="AL771" s="113"/>
      <c r="AM771" s="113"/>
      <c r="AN771" s="118"/>
      <c r="AO771" s="118"/>
      <c r="AP771" s="118"/>
      <c r="AQ771" s="118"/>
    </row>
    <row r="772" spans="2:43" ht="15.75" customHeight="1">
      <c r="B772" s="113"/>
      <c r="E772" s="114"/>
      <c r="Q772" s="116"/>
      <c r="Z772" s="117"/>
      <c r="AA772" s="117"/>
      <c r="AB772" s="117"/>
      <c r="AC772" s="117"/>
      <c r="AK772" s="113"/>
      <c r="AL772" s="113"/>
      <c r="AM772" s="113"/>
      <c r="AN772" s="118"/>
      <c r="AO772" s="118"/>
      <c r="AP772" s="118"/>
      <c r="AQ772" s="118"/>
    </row>
    <row r="773" spans="2:43" ht="15.75" customHeight="1">
      <c r="B773" s="113"/>
      <c r="E773" s="114"/>
      <c r="Q773" s="116"/>
      <c r="Z773" s="117"/>
      <c r="AA773" s="117"/>
      <c r="AB773" s="117"/>
      <c r="AC773" s="117"/>
      <c r="AK773" s="113"/>
      <c r="AL773" s="113"/>
      <c r="AM773" s="113"/>
      <c r="AN773" s="118"/>
      <c r="AO773" s="118"/>
      <c r="AP773" s="118"/>
      <c r="AQ773" s="118"/>
    </row>
    <row r="774" spans="2:43" ht="15.75" customHeight="1">
      <c r="B774" s="113"/>
      <c r="E774" s="114"/>
      <c r="Q774" s="116"/>
      <c r="Z774" s="117"/>
      <c r="AA774" s="117"/>
      <c r="AB774" s="117"/>
      <c r="AC774" s="117"/>
      <c r="AK774" s="113"/>
      <c r="AL774" s="113"/>
      <c r="AM774" s="113"/>
      <c r="AN774" s="118"/>
      <c r="AO774" s="118"/>
      <c r="AP774" s="118"/>
      <c r="AQ774" s="118"/>
    </row>
    <row r="775" spans="2:43" ht="15.75" customHeight="1">
      <c r="B775" s="113"/>
      <c r="E775" s="114"/>
      <c r="Q775" s="116"/>
      <c r="Z775" s="117"/>
      <c r="AA775" s="117"/>
      <c r="AB775" s="117"/>
      <c r="AC775" s="117"/>
      <c r="AK775" s="113"/>
      <c r="AL775" s="113"/>
      <c r="AM775" s="113"/>
      <c r="AN775" s="118"/>
      <c r="AO775" s="118"/>
      <c r="AP775" s="118"/>
      <c r="AQ775" s="118"/>
    </row>
    <row r="776" spans="2:43" ht="15.75" customHeight="1">
      <c r="B776" s="113"/>
      <c r="E776" s="114"/>
      <c r="Q776" s="116"/>
      <c r="Z776" s="117"/>
      <c r="AA776" s="117"/>
      <c r="AB776" s="117"/>
      <c r="AC776" s="117"/>
      <c r="AK776" s="113"/>
      <c r="AL776" s="113"/>
      <c r="AM776" s="113"/>
      <c r="AN776" s="118"/>
      <c r="AO776" s="118"/>
      <c r="AP776" s="118"/>
      <c r="AQ776" s="118"/>
    </row>
    <row r="777" spans="2:43" ht="15.75" customHeight="1">
      <c r="B777" s="113"/>
      <c r="E777" s="114"/>
      <c r="Q777" s="116"/>
      <c r="Z777" s="117"/>
      <c r="AA777" s="117"/>
      <c r="AB777" s="117"/>
      <c r="AC777" s="117"/>
      <c r="AK777" s="113"/>
      <c r="AL777" s="113"/>
      <c r="AM777" s="113"/>
      <c r="AN777" s="118"/>
      <c r="AO777" s="118"/>
      <c r="AP777" s="118"/>
      <c r="AQ777" s="118"/>
    </row>
    <row r="778" spans="2:43" ht="15.75" customHeight="1">
      <c r="B778" s="113"/>
      <c r="E778" s="114"/>
      <c r="Q778" s="116"/>
      <c r="Z778" s="117"/>
      <c r="AA778" s="117"/>
      <c r="AB778" s="117"/>
      <c r="AC778" s="117"/>
      <c r="AK778" s="113"/>
      <c r="AL778" s="113"/>
      <c r="AM778" s="113"/>
      <c r="AN778" s="118"/>
      <c r="AO778" s="118"/>
      <c r="AP778" s="118"/>
      <c r="AQ778" s="118"/>
    </row>
    <row r="779" spans="2:43" ht="15.75" customHeight="1">
      <c r="B779" s="113"/>
      <c r="E779" s="114"/>
      <c r="Q779" s="116"/>
      <c r="Z779" s="117"/>
      <c r="AA779" s="117"/>
      <c r="AB779" s="117"/>
      <c r="AC779" s="117"/>
      <c r="AK779" s="113"/>
      <c r="AL779" s="113"/>
      <c r="AM779" s="113"/>
      <c r="AN779" s="118"/>
      <c r="AO779" s="118"/>
      <c r="AP779" s="118"/>
      <c r="AQ779" s="118"/>
    </row>
    <row r="780" spans="2:43" ht="15.75" customHeight="1">
      <c r="B780" s="113"/>
      <c r="E780" s="114"/>
      <c r="Q780" s="116"/>
      <c r="Z780" s="117"/>
      <c r="AA780" s="117"/>
      <c r="AB780" s="117"/>
      <c r="AC780" s="117"/>
      <c r="AK780" s="113"/>
      <c r="AL780" s="113"/>
      <c r="AM780" s="113"/>
      <c r="AN780" s="118"/>
      <c r="AO780" s="118"/>
      <c r="AP780" s="118"/>
      <c r="AQ780" s="118"/>
    </row>
    <row r="781" spans="2:43" ht="15.75" customHeight="1">
      <c r="B781" s="113"/>
      <c r="E781" s="114"/>
      <c r="Q781" s="116"/>
      <c r="Z781" s="117"/>
      <c r="AA781" s="117"/>
      <c r="AB781" s="117"/>
      <c r="AC781" s="117"/>
      <c r="AK781" s="113"/>
      <c r="AL781" s="113"/>
      <c r="AM781" s="113"/>
      <c r="AN781" s="118"/>
      <c r="AO781" s="118"/>
      <c r="AP781" s="118"/>
      <c r="AQ781" s="118"/>
    </row>
    <row r="782" spans="2:43" ht="15.75" customHeight="1">
      <c r="B782" s="113"/>
      <c r="E782" s="114"/>
      <c r="Q782" s="116"/>
      <c r="Z782" s="117"/>
      <c r="AA782" s="117"/>
      <c r="AB782" s="117"/>
      <c r="AC782" s="117"/>
      <c r="AK782" s="113"/>
      <c r="AL782" s="113"/>
      <c r="AM782" s="113"/>
      <c r="AN782" s="118"/>
      <c r="AO782" s="118"/>
      <c r="AP782" s="118"/>
      <c r="AQ782" s="118"/>
    </row>
    <row r="783" spans="2:43" ht="15.75" customHeight="1">
      <c r="B783" s="113"/>
      <c r="E783" s="114"/>
      <c r="Q783" s="116"/>
      <c r="Z783" s="117"/>
      <c r="AA783" s="117"/>
      <c r="AB783" s="117"/>
      <c r="AC783" s="117"/>
      <c r="AK783" s="113"/>
      <c r="AL783" s="113"/>
      <c r="AM783" s="113"/>
      <c r="AN783" s="118"/>
      <c r="AO783" s="118"/>
      <c r="AP783" s="118"/>
      <c r="AQ783" s="118"/>
    </row>
    <row r="784" spans="2:43" ht="15.75" customHeight="1">
      <c r="B784" s="113"/>
      <c r="E784" s="114"/>
      <c r="Q784" s="116"/>
      <c r="Z784" s="117"/>
      <c r="AA784" s="117"/>
      <c r="AB784" s="117"/>
      <c r="AC784" s="117"/>
      <c r="AK784" s="113"/>
      <c r="AL784" s="113"/>
      <c r="AM784" s="113"/>
      <c r="AN784" s="118"/>
      <c r="AO784" s="118"/>
      <c r="AP784" s="118"/>
      <c r="AQ784" s="118"/>
    </row>
    <row r="785" spans="2:43" ht="15.75" customHeight="1">
      <c r="B785" s="113"/>
      <c r="E785" s="114"/>
      <c r="Q785" s="116"/>
      <c r="Z785" s="117"/>
      <c r="AA785" s="117"/>
      <c r="AB785" s="117"/>
      <c r="AC785" s="117"/>
      <c r="AK785" s="113"/>
      <c r="AL785" s="113"/>
      <c r="AM785" s="113"/>
      <c r="AN785" s="118"/>
      <c r="AO785" s="118"/>
      <c r="AP785" s="118"/>
      <c r="AQ785" s="118"/>
    </row>
    <row r="786" spans="2:43" ht="15.75" customHeight="1">
      <c r="B786" s="113"/>
      <c r="E786" s="114"/>
      <c r="Q786" s="116"/>
      <c r="Z786" s="117"/>
      <c r="AA786" s="117"/>
      <c r="AB786" s="117"/>
      <c r="AC786" s="117"/>
      <c r="AK786" s="113"/>
      <c r="AL786" s="113"/>
      <c r="AM786" s="113"/>
      <c r="AN786" s="118"/>
      <c r="AO786" s="118"/>
      <c r="AP786" s="118"/>
      <c r="AQ786" s="118"/>
    </row>
    <row r="787" spans="2:43" ht="15.75" customHeight="1">
      <c r="B787" s="113"/>
      <c r="E787" s="114"/>
      <c r="Q787" s="116"/>
      <c r="Z787" s="117"/>
      <c r="AA787" s="117"/>
      <c r="AB787" s="117"/>
      <c r="AC787" s="117"/>
      <c r="AK787" s="113"/>
      <c r="AL787" s="113"/>
      <c r="AM787" s="113"/>
      <c r="AN787" s="118"/>
      <c r="AO787" s="118"/>
      <c r="AP787" s="118"/>
      <c r="AQ787" s="118"/>
    </row>
    <row r="788" spans="2:43" ht="15.75" customHeight="1">
      <c r="B788" s="113"/>
      <c r="E788" s="114"/>
      <c r="Q788" s="116"/>
      <c r="Z788" s="117"/>
      <c r="AA788" s="117"/>
      <c r="AB788" s="117"/>
      <c r="AC788" s="117"/>
      <c r="AK788" s="113"/>
      <c r="AL788" s="113"/>
      <c r="AM788" s="113"/>
      <c r="AN788" s="118"/>
      <c r="AO788" s="118"/>
      <c r="AP788" s="118"/>
      <c r="AQ788" s="118"/>
    </row>
    <row r="789" spans="2:43" ht="15.75" customHeight="1">
      <c r="B789" s="113"/>
      <c r="E789" s="114"/>
      <c r="Q789" s="116"/>
      <c r="Z789" s="117"/>
      <c r="AA789" s="117"/>
      <c r="AB789" s="117"/>
      <c r="AC789" s="117"/>
      <c r="AK789" s="113"/>
      <c r="AL789" s="113"/>
      <c r="AM789" s="113"/>
      <c r="AN789" s="118"/>
      <c r="AO789" s="118"/>
      <c r="AP789" s="118"/>
      <c r="AQ789" s="118"/>
    </row>
    <row r="790" spans="2:43" ht="15.75" customHeight="1">
      <c r="B790" s="113"/>
      <c r="E790" s="114"/>
      <c r="Q790" s="116"/>
      <c r="Z790" s="117"/>
      <c r="AA790" s="117"/>
      <c r="AB790" s="117"/>
      <c r="AC790" s="117"/>
      <c r="AK790" s="113"/>
      <c r="AL790" s="113"/>
      <c r="AM790" s="113"/>
      <c r="AN790" s="118"/>
      <c r="AO790" s="118"/>
      <c r="AP790" s="118"/>
      <c r="AQ790" s="118"/>
    </row>
    <row r="791" spans="2:43" ht="15.75" customHeight="1">
      <c r="B791" s="113"/>
      <c r="E791" s="114"/>
      <c r="Q791" s="116"/>
      <c r="Z791" s="117"/>
      <c r="AA791" s="117"/>
      <c r="AB791" s="117"/>
      <c r="AC791" s="117"/>
      <c r="AK791" s="113"/>
      <c r="AL791" s="113"/>
      <c r="AM791" s="113"/>
      <c r="AN791" s="118"/>
      <c r="AO791" s="118"/>
      <c r="AP791" s="118"/>
      <c r="AQ791" s="118"/>
    </row>
    <row r="792" spans="2:43" ht="15.75" customHeight="1">
      <c r="B792" s="113"/>
      <c r="E792" s="114"/>
      <c r="Q792" s="116"/>
      <c r="Z792" s="117"/>
      <c r="AA792" s="117"/>
      <c r="AB792" s="117"/>
      <c r="AC792" s="117"/>
      <c r="AK792" s="113"/>
      <c r="AL792" s="113"/>
      <c r="AM792" s="113"/>
      <c r="AN792" s="118"/>
      <c r="AO792" s="118"/>
      <c r="AP792" s="118"/>
      <c r="AQ792" s="118"/>
    </row>
    <row r="793" spans="2:43" ht="15.75" customHeight="1">
      <c r="B793" s="113"/>
      <c r="E793" s="114"/>
      <c r="Q793" s="116"/>
      <c r="Z793" s="117"/>
      <c r="AA793" s="117"/>
      <c r="AB793" s="117"/>
      <c r="AC793" s="117"/>
      <c r="AK793" s="113"/>
      <c r="AL793" s="113"/>
      <c r="AM793" s="113"/>
      <c r="AN793" s="118"/>
      <c r="AO793" s="118"/>
      <c r="AP793" s="118"/>
      <c r="AQ793" s="118"/>
    </row>
    <row r="794" spans="2:43" ht="15.75" customHeight="1">
      <c r="B794" s="113"/>
      <c r="E794" s="114"/>
      <c r="Q794" s="116"/>
      <c r="Z794" s="117"/>
      <c r="AA794" s="117"/>
      <c r="AB794" s="117"/>
      <c r="AC794" s="117"/>
      <c r="AK794" s="113"/>
      <c r="AL794" s="113"/>
      <c r="AM794" s="113"/>
      <c r="AN794" s="118"/>
      <c r="AO794" s="118"/>
      <c r="AP794" s="118"/>
      <c r="AQ794" s="118"/>
    </row>
    <row r="795" spans="2:43" ht="15.75" customHeight="1">
      <c r="B795" s="113"/>
      <c r="E795" s="114"/>
      <c r="Q795" s="116"/>
      <c r="Z795" s="117"/>
      <c r="AA795" s="117"/>
      <c r="AB795" s="117"/>
      <c r="AC795" s="117"/>
      <c r="AK795" s="113"/>
      <c r="AL795" s="113"/>
      <c r="AM795" s="113"/>
      <c r="AN795" s="118"/>
      <c r="AO795" s="118"/>
      <c r="AP795" s="118"/>
      <c r="AQ795" s="118"/>
    </row>
    <row r="796" spans="2:43" ht="15.75" customHeight="1">
      <c r="B796" s="113"/>
      <c r="E796" s="114"/>
      <c r="Q796" s="116"/>
      <c r="Z796" s="117"/>
      <c r="AA796" s="117"/>
      <c r="AB796" s="117"/>
      <c r="AC796" s="117"/>
      <c r="AK796" s="113"/>
      <c r="AL796" s="113"/>
      <c r="AM796" s="113"/>
      <c r="AN796" s="118"/>
      <c r="AO796" s="118"/>
      <c r="AP796" s="118"/>
      <c r="AQ796" s="118"/>
    </row>
    <row r="797" spans="2:43" ht="15.75" customHeight="1">
      <c r="B797" s="113"/>
      <c r="E797" s="114"/>
      <c r="Q797" s="116"/>
      <c r="Z797" s="117"/>
      <c r="AA797" s="117"/>
      <c r="AB797" s="117"/>
      <c r="AC797" s="117"/>
      <c r="AK797" s="113"/>
      <c r="AL797" s="113"/>
      <c r="AM797" s="113"/>
      <c r="AN797" s="118"/>
      <c r="AO797" s="118"/>
      <c r="AP797" s="118"/>
      <c r="AQ797" s="118"/>
    </row>
    <row r="798" spans="2:43" ht="15.75" customHeight="1">
      <c r="B798" s="113"/>
      <c r="E798" s="114"/>
      <c r="Q798" s="116"/>
      <c r="Z798" s="117"/>
      <c r="AA798" s="117"/>
      <c r="AB798" s="117"/>
      <c r="AC798" s="117"/>
      <c r="AK798" s="113"/>
      <c r="AL798" s="113"/>
      <c r="AM798" s="113"/>
      <c r="AN798" s="118"/>
      <c r="AO798" s="118"/>
      <c r="AP798" s="118"/>
      <c r="AQ798" s="118"/>
    </row>
    <row r="799" spans="2:43" ht="15.75" customHeight="1">
      <c r="B799" s="113"/>
      <c r="E799" s="114"/>
      <c r="Q799" s="116"/>
      <c r="Z799" s="117"/>
      <c r="AA799" s="117"/>
      <c r="AB799" s="117"/>
      <c r="AC799" s="117"/>
      <c r="AK799" s="113"/>
      <c r="AL799" s="113"/>
      <c r="AM799" s="113"/>
      <c r="AN799" s="118"/>
      <c r="AO799" s="118"/>
      <c r="AP799" s="118"/>
      <c r="AQ799" s="118"/>
    </row>
    <row r="800" spans="2:43" ht="15.75" customHeight="1">
      <c r="B800" s="113"/>
      <c r="E800" s="114"/>
      <c r="Q800" s="116"/>
      <c r="Z800" s="117"/>
      <c r="AA800" s="117"/>
      <c r="AB800" s="117"/>
      <c r="AC800" s="117"/>
      <c r="AK800" s="113"/>
      <c r="AL800" s="113"/>
      <c r="AM800" s="113"/>
      <c r="AN800" s="118"/>
      <c r="AO800" s="118"/>
      <c r="AP800" s="118"/>
      <c r="AQ800" s="118"/>
    </row>
    <row r="801" spans="2:43" ht="15.75" customHeight="1">
      <c r="B801" s="113"/>
      <c r="E801" s="114"/>
      <c r="Q801" s="116"/>
      <c r="Z801" s="117"/>
      <c r="AA801" s="117"/>
      <c r="AB801" s="117"/>
      <c r="AC801" s="117"/>
      <c r="AK801" s="113"/>
      <c r="AL801" s="113"/>
      <c r="AM801" s="113"/>
      <c r="AN801" s="118"/>
      <c r="AO801" s="118"/>
      <c r="AP801" s="118"/>
      <c r="AQ801" s="118"/>
    </row>
    <row r="802" spans="2:43" ht="15.75" customHeight="1">
      <c r="B802" s="113"/>
      <c r="E802" s="114"/>
      <c r="Q802" s="116"/>
      <c r="Z802" s="117"/>
      <c r="AA802" s="117"/>
      <c r="AB802" s="117"/>
      <c r="AC802" s="117"/>
      <c r="AK802" s="113"/>
      <c r="AL802" s="113"/>
      <c r="AM802" s="113"/>
      <c r="AN802" s="118"/>
      <c r="AO802" s="118"/>
      <c r="AP802" s="118"/>
      <c r="AQ802" s="118"/>
    </row>
    <row r="803" spans="2:43" ht="15.75" customHeight="1">
      <c r="B803" s="113"/>
      <c r="E803" s="114"/>
      <c r="Q803" s="116"/>
      <c r="Z803" s="117"/>
      <c r="AA803" s="117"/>
      <c r="AB803" s="117"/>
      <c r="AC803" s="117"/>
      <c r="AK803" s="113"/>
      <c r="AL803" s="113"/>
      <c r="AM803" s="113"/>
      <c r="AN803" s="118"/>
      <c r="AO803" s="118"/>
      <c r="AP803" s="118"/>
      <c r="AQ803" s="118"/>
    </row>
    <row r="804" spans="2:43" ht="15.75" customHeight="1">
      <c r="B804" s="113"/>
      <c r="E804" s="114"/>
      <c r="Q804" s="116"/>
      <c r="Z804" s="117"/>
      <c r="AA804" s="117"/>
      <c r="AB804" s="117"/>
      <c r="AC804" s="117"/>
      <c r="AK804" s="113"/>
      <c r="AL804" s="113"/>
      <c r="AM804" s="113"/>
      <c r="AN804" s="118"/>
      <c r="AO804" s="118"/>
      <c r="AP804" s="118"/>
      <c r="AQ804" s="118"/>
    </row>
    <row r="805" spans="2:43" ht="15.75" customHeight="1">
      <c r="B805" s="113"/>
      <c r="E805" s="114"/>
      <c r="Q805" s="116"/>
      <c r="Z805" s="117"/>
      <c r="AA805" s="117"/>
      <c r="AB805" s="117"/>
      <c r="AC805" s="117"/>
      <c r="AK805" s="113"/>
      <c r="AL805" s="113"/>
      <c r="AM805" s="113"/>
      <c r="AN805" s="118"/>
      <c r="AO805" s="118"/>
      <c r="AP805" s="118"/>
      <c r="AQ805" s="118"/>
    </row>
    <row r="806" spans="2:43" ht="15.75" customHeight="1">
      <c r="B806" s="113"/>
      <c r="E806" s="114"/>
      <c r="Q806" s="116"/>
      <c r="Z806" s="117"/>
      <c r="AA806" s="117"/>
      <c r="AB806" s="117"/>
      <c r="AC806" s="117"/>
      <c r="AK806" s="113"/>
      <c r="AL806" s="113"/>
      <c r="AM806" s="113"/>
      <c r="AN806" s="118"/>
      <c r="AO806" s="118"/>
      <c r="AP806" s="118"/>
      <c r="AQ806" s="118"/>
    </row>
    <row r="807" spans="2:43" ht="15.75" customHeight="1">
      <c r="B807" s="113"/>
      <c r="E807" s="114"/>
      <c r="Q807" s="116"/>
      <c r="Z807" s="117"/>
      <c r="AA807" s="117"/>
      <c r="AB807" s="117"/>
      <c r="AC807" s="117"/>
      <c r="AK807" s="113"/>
      <c r="AL807" s="113"/>
      <c r="AM807" s="113"/>
      <c r="AN807" s="118"/>
      <c r="AO807" s="118"/>
      <c r="AP807" s="118"/>
      <c r="AQ807" s="118"/>
    </row>
    <row r="808" spans="2:43" ht="15.75" customHeight="1">
      <c r="B808" s="113"/>
      <c r="E808" s="114"/>
      <c r="Q808" s="116"/>
      <c r="Z808" s="117"/>
      <c r="AA808" s="117"/>
      <c r="AB808" s="117"/>
      <c r="AC808" s="117"/>
      <c r="AK808" s="113"/>
      <c r="AL808" s="113"/>
      <c r="AM808" s="113"/>
      <c r="AN808" s="118"/>
      <c r="AO808" s="118"/>
      <c r="AP808" s="118"/>
      <c r="AQ808" s="118"/>
    </row>
    <row r="809" spans="2:43" ht="15.75" customHeight="1">
      <c r="B809" s="113"/>
      <c r="E809" s="114"/>
      <c r="Q809" s="116"/>
      <c r="Z809" s="117"/>
      <c r="AA809" s="117"/>
      <c r="AB809" s="117"/>
      <c r="AC809" s="117"/>
      <c r="AK809" s="113"/>
      <c r="AL809" s="113"/>
      <c r="AM809" s="113"/>
      <c r="AN809" s="118"/>
      <c r="AO809" s="118"/>
      <c r="AP809" s="118"/>
      <c r="AQ809" s="118"/>
    </row>
    <row r="810" spans="2:43" ht="15.75" customHeight="1">
      <c r="B810" s="113"/>
      <c r="E810" s="114"/>
      <c r="Q810" s="116"/>
      <c r="Z810" s="117"/>
      <c r="AA810" s="117"/>
      <c r="AB810" s="117"/>
      <c r="AC810" s="117"/>
      <c r="AK810" s="113"/>
      <c r="AL810" s="113"/>
      <c r="AM810" s="113"/>
      <c r="AN810" s="118"/>
      <c r="AO810" s="118"/>
      <c r="AP810" s="118"/>
      <c r="AQ810" s="118"/>
    </row>
    <row r="811" spans="2:43" ht="15.75" customHeight="1">
      <c r="B811" s="113"/>
      <c r="E811" s="114"/>
      <c r="Q811" s="116"/>
      <c r="Z811" s="117"/>
      <c r="AA811" s="117"/>
      <c r="AB811" s="117"/>
      <c r="AC811" s="117"/>
      <c r="AK811" s="113"/>
      <c r="AL811" s="113"/>
      <c r="AM811" s="113"/>
      <c r="AN811" s="118"/>
      <c r="AO811" s="118"/>
      <c r="AP811" s="118"/>
      <c r="AQ811" s="118"/>
    </row>
    <row r="812" spans="2:43" ht="15.75" customHeight="1">
      <c r="B812" s="113"/>
      <c r="E812" s="114"/>
      <c r="Q812" s="116"/>
      <c r="Z812" s="117"/>
      <c r="AA812" s="117"/>
      <c r="AB812" s="117"/>
      <c r="AC812" s="117"/>
      <c r="AK812" s="113"/>
      <c r="AL812" s="113"/>
      <c r="AM812" s="113"/>
      <c r="AN812" s="118"/>
      <c r="AO812" s="118"/>
      <c r="AP812" s="118"/>
      <c r="AQ812" s="118"/>
    </row>
    <row r="813" spans="2:43" ht="15.75" customHeight="1">
      <c r="B813" s="113"/>
      <c r="E813" s="114"/>
      <c r="Q813" s="116"/>
      <c r="Z813" s="117"/>
      <c r="AA813" s="117"/>
      <c r="AB813" s="117"/>
      <c r="AC813" s="117"/>
      <c r="AK813" s="113"/>
      <c r="AL813" s="113"/>
      <c r="AM813" s="113"/>
      <c r="AN813" s="118"/>
      <c r="AO813" s="118"/>
      <c r="AP813" s="118"/>
      <c r="AQ813" s="118"/>
    </row>
    <row r="814" spans="2:43" ht="15.75" customHeight="1">
      <c r="B814" s="113"/>
      <c r="E814" s="114"/>
      <c r="Q814" s="116"/>
      <c r="Z814" s="117"/>
      <c r="AA814" s="117"/>
      <c r="AB814" s="117"/>
      <c r="AC814" s="117"/>
      <c r="AK814" s="113"/>
      <c r="AL814" s="113"/>
      <c r="AM814" s="113"/>
      <c r="AN814" s="118"/>
      <c r="AO814" s="118"/>
      <c r="AP814" s="118"/>
      <c r="AQ814" s="118"/>
    </row>
    <row r="815" spans="2:43" ht="15.75" customHeight="1">
      <c r="B815" s="113"/>
      <c r="E815" s="114"/>
      <c r="Q815" s="116"/>
      <c r="Z815" s="117"/>
      <c r="AA815" s="117"/>
      <c r="AB815" s="117"/>
      <c r="AC815" s="117"/>
      <c r="AK815" s="113"/>
      <c r="AL815" s="113"/>
      <c r="AM815" s="113"/>
      <c r="AN815" s="118"/>
      <c r="AO815" s="118"/>
      <c r="AP815" s="118"/>
      <c r="AQ815" s="118"/>
    </row>
    <row r="816" spans="2:43" ht="15.75" customHeight="1">
      <c r="B816" s="113"/>
      <c r="E816" s="114"/>
      <c r="Q816" s="116"/>
      <c r="Z816" s="117"/>
      <c r="AA816" s="117"/>
      <c r="AB816" s="117"/>
      <c r="AC816" s="117"/>
      <c r="AK816" s="113"/>
      <c r="AL816" s="113"/>
      <c r="AM816" s="113"/>
      <c r="AN816" s="118"/>
      <c r="AO816" s="118"/>
      <c r="AP816" s="118"/>
      <c r="AQ816" s="118"/>
    </row>
    <row r="817" spans="2:43" ht="15.75" customHeight="1">
      <c r="B817" s="113"/>
      <c r="E817" s="114"/>
      <c r="Q817" s="116"/>
      <c r="Z817" s="117"/>
      <c r="AA817" s="117"/>
      <c r="AB817" s="117"/>
      <c r="AC817" s="117"/>
      <c r="AK817" s="113"/>
      <c r="AL817" s="113"/>
      <c r="AM817" s="113"/>
      <c r="AN817" s="118"/>
      <c r="AO817" s="118"/>
      <c r="AP817" s="118"/>
      <c r="AQ817" s="118"/>
    </row>
    <row r="818" spans="2:43" ht="15.75" customHeight="1">
      <c r="B818" s="113"/>
      <c r="E818" s="114"/>
      <c r="Q818" s="116"/>
      <c r="Z818" s="117"/>
      <c r="AA818" s="117"/>
      <c r="AB818" s="117"/>
      <c r="AC818" s="117"/>
      <c r="AK818" s="113"/>
      <c r="AL818" s="113"/>
      <c r="AM818" s="113"/>
      <c r="AN818" s="118"/>
      <c r="AO818" s="118"/>
      <c r="AP818" s="118"/>
      <c r="AQ818" s="118"/>
    </row>
    <row r="819" spans="2:43" ht="15.75" customHeight="1">
      <c r="B819" s="113"/>
      <c r="E819" s="114"/>
      <c r="Q819" s="116"/>
      <c r="Z819" s="117"/>
      <c r="AA819" s="117"/>
      <c r="AB819" s="117"/>
      <c r="AC819" s="117"/>
      <c r="AK819" s="113"/>
      <c r="AL819" s="113"/>
      <c r="AM819" s="113"/>
      <c r="AN819" s="118"/>
      <c r="AO819" s="118"/>
      <c r="AP819" s="118"/>
      <c r="AQ819" s="118"/>
    </row>
    <row r="820" spans="2:43" ht="15.75" customHeight="1">
      <c r="B820" s="113"/>
      <c r="E820" s="114"/>
      <c r="Q820" s="116"/>
      <c r="Z820" s="117"/>
      <c r="AA820" s="117"/>
      <c r="AB820" s="117"/>
      <c r="AC820" s="117"/>
      <c r="AK820" s="113"/>
      <c r="AL820" s="113"/>
      <c r="AM820" s="113"/>
      <c r="AN820" s="118"/>
      <c r="AO820" s="118"/>
      <c r="AP820" s="118"/>
      <c r="AQ820" s="118"/>
    </row>
    <row r="821" spans="2:43" ht="15.75" customHeight="1">
      <c r="B821" s="113"/>
      <c r="E821" s="114"/>
      <c r="Q821" s="116"/>
      <c r="Z821" s="117"/>
      <c r="AA821" s="117"/>
      <c r="AB821" s="117"/>
      <c r="AC821" s="117"/>
      <c r="AK821" s="113"/>
      <c r="AL821" s="113"/>
      <c r="AM821" s="113"/>
      <c r="AN821" s="118"/>
      <c r="AO821" s="118"/>
      <c r="AP821" s="118"/>
      <c r="AQ821" s="118"/>
    </row>
    <row r="822" spans="2:43" ht="15.75" customHeight="1">
      <c r="B822" s="113"/>
      <c r="E822" s="114"/>
      <c r="Q822" s="116"/>
      <c r="Z822" s="117"/>
      <c r="AA822" s="117"/>
      <c r="AB822" s="117"/>
      <c r="AC822" s="117"/>
      <c r="AK822" s="113"/>
      <c r="AL822" s="113"/>
      <c r="AM822" s="113"/>
      <c r="AN822" s="118"/>
      <c r="AO822" s="118"/>
      <c r="AP822" s="118"/>
      <c r="AQ822" s="118"/>
    </row>
    <row r="823" spans="2:43" ht="15.75" customHeight="1">
      <c r="B823" s="113"/>
      <c r="E823" s="114"/>
      <c r="Q823" s="116"/>
      <c r="Z823" s="117"/>
      <c r="AA823" s="117"/>
      <c r="AB823" s="117"/>
      <c r="AC823" s="117"/>
      <c r="AK823" s="113"/>
      <c r="AL823" s="113"/>
      <c r="AM823" s="113"/>
      <c r="AN823" s="118"/>
      <c r="AO823" s="118"/>
      <c r="AP823" s="118"/>
      <c r="AQ823" s="118"/>
    </row>
    <row r="824" spans="2:43" ht="15.75" customHeight="1">
      <c r="B824" s="113"/>
      <c r="E824" s="114"/>
      <c r="Q824" s="116"/>
      <c r="Z824" s="117"/>
      <c r="AA824" s="117"/>
      <c r="AB824" s="117"/>
      <c r="AC824" s="117"/>
      <c r="AK824" s="113"/>
      <c r="AL824" s="113"/>
      <c r="AM824" s="113"/>
      <c r="AN824" s="118"/>
      <c r="AO824" s="118"/>
      <c r="AP824" s="118"/>
      <c r="AQ824" s="118"/>
    </row>
    <row r="825" spans="2:43" ht="15.75" customHeight="1">
      <c r="B825" s="113"/>
      <c r="E825" s="114"/>
      <c r="Q825" s="116"/>
      <c r="Z825" s="117"/>
      <c r="AA825" s="117"/>
      <c r="AB825" s="117"/>
      <c r="AC825" s="117"/>
      <c r="AK825" s="113"/>
      <c r="AL825" s="113"/>
      <c r="AM825" s="113"/>
      <c r="AN825" s="118"/>
      <c r="AO825" s="118"/>
      <c r="AP825" s="118"/>
      <c r="AQ825" s="118"/>
    </row>
    <row r="826" spans="2:43" ht="15.75" customHeight="1">
      <c r="B826" s="113"/>
      <c r="E826" s="114"/>
      <c r="Q826" s="116"/>
      <c r="Z826" s="117"/>
      <c r="AA826" s="117"/>
      <c r="AB826" s="117"/>
      <c r="AC826" s="117"/>
      <c r="AK826" s="113"/>
      <c r="AL826" s="113"/>
      <c r="AM826" s="113"/>
      <c r="AN826" s="118"/>
      <c r="AO826" s="118"/>
      <c r="AP826" s="118"/>
      <c r="AQ826" s="118"/>
    </row>
    <row r="827" spans="2:43" ht="15.75" customHeight="1">
      <c r="B827" s="113"/>
      <c r="E827" s="114"/>
      <c r="Q827" s="116"/>
      <c r="Z827" s="117"/>
      <c r="AA827" s="117"/>
      <c r="AB827" s="117"/>
      <c r="AC827" s="117"/>
      <c r="AK827" s="113"/>
      <c r="AL827" s="113"/>
      <c r="AM827" s="113"/>
      <c r="AN827" s="118"/>
      <c r="AO827" s="118"/>
      <c r="AP827" s="118"/>
      <c r="AQ827" s="118"/>
    </row>
    <row r="828" spans="2:43" ht="15.75" customHeight="1">
      <c r="B828" s="113"/>
      <c r="E828" s="114"/>
      <c r="Q828" s="116"/>
      <c r="Z828" s="117"/>
      <c r="AA828" s="117"/>
      <c r="AB828" s="117"/>
      <c r="AC828" s="117"/>
      <c r="AK828" s="113"/>
      <c r="AL828" s="113"/>
      <c r="AM828" s="113"/>
      <c r="AN828" s="118"/>
      <c r="AO828" s="118"/>
      <c r="AP828" s="118"/>
      <c r="AQ828" s="118"/>
    </row>
    <row r="829" spans="2:43" ht="15.75" customHeight="1">
      <c r="B829" s="113"/>
      <c r="E829" s="114"/>
      <c r="Q829" s="116"/>
      <c r="Z829" s="117"/>
      <c r="AA829" s="117"/>
      <c r="AB829" s="117"/>
      <c r="AC829" s="117"/>
      <c r="AK829" s="113"/>
      <c r="AL829" s="113"/>
      <c r="AM829" s="113"/>
      <c r="AN829" s="118"/>
      <c r="AO829" s="118"/>
      <c r="AP829" s="118"/>
      <c r="AQ829" s="118"/>
    </row>
    <row r="830" spans="2:43" ht="15.75" customHeight="1">
      <c r="B830" s="113"/>
      <c r="E830" s="114"/>
      <c r="Q830" s="116"/>
      <c r="Z830" s="117"/>
      <c r="AA830" s="117"/>
      <c r="AB830" s="117"/>
      <c r="AC830" s="117"/>
      <c r="AK830" s="113"/>
      <c r="AL830" s="113"/>
      <c r="AM830" s="113"/>
      <c r="AN830" s="118"/>
      <c r="AO830" s="118"/>
      <c r="AP830" s="118"/>
      <c r="AQ830" s="118"/>
    </row>
    <row r="831" spans="2:43" ht="15.75" customHeight="1">
      <c r="B831" s="113"/>
      <c r="E831" s="114"/>
      <c r="Q831" s="116"/>
      <c r="Z831" s="117"/>
      <c r="AA831" s="117"/>
      <c r="AB831" s="117"/>
      <c r="AC831" s="117"/>
      <c r="AK831" s="113"/>
      <c r="AL831" s="113"/>
      <c r="AM831" s="113"/>
      <c r="AN831" s="118"/>
      <c r="AO831" s="118"/>
      <c r="AP831" s="118"/>
      <c r="AQ831" s="118"/>
    </row>
    <row r="832" spans="2:43" ht="15.75" customHeight="1">
      <c r="B832" s="113"/>
      <c r="E832" s="114"/>
      <c r="Q832" s="116"/>
      <c r="Z832" s="117"/>
      <c r="AA832" s="117"/>
      <c r="AB832" s="117"/>
      <c r="AC832" s="117"/>
      <c r="AK832" s="113"/>
      <c r="AL832" s="113"/>
      <c r="AM832" s="113"/>
      <c r="AN832" s="118"/>
      <c r="AO832" s="118"/>
      <c r="AP832" s="118"/>
      <c r="AQ832" s="118"/>
    </row>
    <row r="833" spans="2:43" ht="15.75" customHeight="1">
      <c r="B833" s="113"/>
      <c r="E833" s="114"/>
      <c r="Q833" s="116"/>
      <c r="Z833" s="117"/>
      <c r="AA833" s="117"/>
      <c r="AB833" s="117"/>
      <c r="AC833" s="117"/>
      <c r="AK833" s="113"/>
      <c r="AL833" s="113"/>
      <c r="AM833" s="113"/>
      <c r="AN833" s="118"/>
      <c r="AO833" s="118"/>
      <c r="AP833" s="118"/>
      <c r="AQ833" s="118"/>
    </row>
    <row r="834" spans="2:43" ht="15.75" customHeight="1">
      <c r="B834" s="113"/>
      <c r="E834" s="114"/>
      <c r="Q834" s="116"/>
      <c r="Z834" s="117"/>
      <c r="AA834" s="117"/>
      <c r="AB834" s="117"/>
      <c r="AC834" s="117"/>
      <c r="AK834" s="113"/>
      <c r="AL834" s="113"/>
      <c r="AM834" s="113"/>
      <c r="AN834" s="118"/>
      <c r="AO834" s="118"/>
      <c r="AP834" s="118"/>
      <c r="AQ834" s="118"/>
    </row>
    <row r="835" spans="2:43" ht="15.75" customHeight="1">
      <c r="B835" s="113"/>
      <c r="E835" s="114"/>
      <c r="Q835" s="116"/>
      <c r="Z835" s="117"/>
      <c r="AA835" s="117"/>
      <c r="AB835" s="117"/>
      <c r="AC835" s="117"/>
      <c r="AK835" s="113"/>
      <c r="AL835" s="113"/>
      <c r="AM835" s="113"/>
      <c r="AN835" s="118"/>
      <c r="AO835" s="118"/>
      <c r="AP835" s="118"/>
      <c r="AQ835" s="118"/>
    </row>
    <row r="836" spans="2:43" ht="15.75" customHeight="1">
      <c r="B836" s="113"/>
      <c r="E836" s="114"/>
      <c r="Q836" s="116"/>
      <c r="Z836" s="117"/>
      <c r="AA836" s="117"/>
      <c r="AB836" s="117"/>
      <c r="AC836" s="117"/>
      <c r="AK836" s="113"/>
      <c r="AL836" s="113"/>
      <c r="AM836" s="113"/>
      <c r="AN836" s="118"/>
      <c r="AO836" s="118"/>
      <c r="AP836" s="118"/>
      <c r="AQ836" s="118"/>
    </row>
    <row r="837" spans="2:43" ht="15.75" customHeight="1">
      <c r="B837" s="113"/>
      <c r="E837" s="114"/>
      <c r="Q837" s="116"/>
      <c r="Z837" s="117"/>
      <c r="AA837" s="117"/>
      <c r="AB837" s="117"/>
      <c r="AC837" s="117"/>
      <c r="AK837" s="113"/>
      <c r="AL837" s="113"/>
      <c r="AM837" s="113"/>
      <c r="AN837" s="118"/>
      <c r="AO837" s="118"/>
      <c r="AP837" s="118"/>
      <c r="AQ837" s="118"/>
    </row>
    <row r="838" spans="2:43" ht="15.75" customHeight="1">
      <c r="B838" s="113"/>
      <c r="E838" s="114"/>
      <c r="Q838" s="116"/>
      <c r="Z838" s="117"/>
      <c r="AA838" s="117"/>
      <c r="AB838" s="117"/>
      <c r="AC838" s="117"/>
      <c r="AK838" s="113"/>
      <c r="AL838" s="113"/>
      <c r="AM838" s="113"/>
      <c r="AN838" s="118"/>
      <c r="AO838" s="118"/>
      <c r="AP838" s="118"/>
      <c r="AQ838" s="118"/>
    </row>
    <row r="839" spans="2:43" ht="15.75" customHeight="1">
      <c r="B839" s="113"/>
      <c r="E839" s="114"/>
      <c r="Q839" s="116"/>
      <c r="Z839" s="117"/>
      <c r="AA839" s="117"/>
      <c r="AB839" s="117"/>
      <c r="AC839" s="117"/>
      <c r="AK839" s="113"/>
      <c r="AL839" s="113"/>
      <c r="AM839" s="113"/>
      <c r="AN839" s="118"/>
      <c r="AO839" s="118"/>
      <c r="AP839" s="118"/>
      <c r="AQ839" s="118"/>
    </row>
    <row r="840" spans="2:43" ht="15.75" customHeight="1">
      <c r="B840" s="113"/>
      <c r="E840" s="114"/>
      <c r="Q840" s="116"/>
      <c r="Z840" s="117"/>
      <c r="AA840" s="117"/>
      <c r="AB840" s="117"/>
      <c r="AC840" s="117"/>
      <c r="AK840" s="113"/>
      <c r="AL840" s="113"/>
      <c r="AM840" s="113"/>
      <c r="AN840" s="118"/>
      <c r="AO840" s="118"/>
      <c r="AP840" s="118"/>
      <c r="AQ840" s="118"/>
    </row>
    <row r="841" spans="2:43" ht="15.75" customHeight="1">
      <c r="B841" s="113"/>
      <c r="E841" s="114"/>
      <c r="Q841" s="116"/>
      <c r="Z841" s="117"/>
      <c r="AA841" s="117"/>
      <c r="AB841" s="117"/>
      <c r="AC841" s="117"/>
      <c r="AK841" s="113"/>
      <c r="AL841" s="113"/>
      <c r="AM841" s="113"/>
      <c r="AN841" s="118"/>
      <c r="AO841" s="118"/>
      <c r="AP841" s="118"/>
      <c r="AQ841" s="118"/>
    </row>
    <row r="842" spans="2:43" ht="15.75" customHeight="1">
      <c r="B842" s="113"/>
      <c r="E842" s="114"/>
      <c r="Q842" s="116"/>
      <c r="Z842" s="117"/>
      <c r="AA842" s="117"/>
      <c r="AB842" s="117"/>
      <c r="AC842" s="117"/>
      <c r="AK842" s="113"/>
      <c r="AL842" s="113"/>
      <c r="AM842" s="113"/>
      <c r="AN842" s="118"/>
      <c r="AO842" s="118"/>
      <c r="AP842" s="118"/>
      <c r="AQ842" s="118"/>
    </row>
    <row r="843" spans="2:43" ht="15.75" customHeight="1">
      <c r="B843" s="113"/>
      <c r="E843" s="114"/>
      <c r="Q843" s="116"/>
      <c r="Z843" s="117"/>
      <c r="AA843" s="117"/>
      <c r="AB843" s="117"/>
      <c r="AC843" s="117"/>
      <c r="AK843" s="113"/>
      <c r="AL843" s="113"/>
      <c r="AM843" s="113"/>
      <c r="AN843" s="118"/>
      <c r="AO843" s="118"/>
      <c r="AP843" s="118"/>
      <c r="AQ843" s="118"/>
    </row>
    <row r="844" spans="2:43" ht="15.75" customHeight="1">
      <c r="B844" s="113"/>
      <c r="E844" s="114"/>
      <c r="Q844" s="116"/>
      <c r="Z844" s="117"/>
      <c r="AA844" s="117"/>
      <c r="AB844" s="117"/>
      <c r="AC844" s="117"/>
      <c r="AK844" s="113"/>
      <c r="AL844" s="113"/>
      <c r="AM844" s="113"/>
      <c r="AN844" s="118"/>
      <c r="AO844" s="118"/>
      <c r="AP844" s="118"/>
      <c r="AQ844" s="118"/>
    </row>
    <row r="845" spans="2:43" ht="15.75" customHeight="1">
      <c r="B845" s="113"/>
      <c r="E845" s="114"/>
      <c r="Q845" s="116"/>
      <c r="Z845" s="117"/>
      <c r="AA845" s="117"/>
      <c r="AB845" s="117"/>
      <c r="AC845" s="117"/>
      <c r="AK845" s="113"/>
      <c r="AL845" s="113"/>
      <c r="AM845" s="113"/>
      <c r="AN845" s="118"/>
      <c r="AO845" s="118"/>
      <c r="AP845" s="118"/>
      <c r="AQ845" s="118"/>
    </row>
    <row r="846" spans="2:43" ht="15.75" customHeight="1">
      <c r="B846" s="113"/>
      <c r="E846" s="114"/>
      <c r="Q846" s="116"/>
      <c r="Z846" s="117"/>
      <c r="AA846" s="117"/>
      <c r="AB846" s="117"/>
      <c r="AC846" s="117"/>
      <c r="AK846" s="113"/>
      <c r="AL846" s="113"/>
      <c r="AM846" s="113"/>
      <c r="AN846" s="118"/>
      <c r="AO846" s="118"/>
      <c r="AP846" s="118"/>
      <c r="AQ846" s="118"/>
    </row>
    <row r="847" spans="2:43" ht="15.75" customHeight="1">
      <c r="B847" s="113"/>
      <c r="E847" s="114"/>
      <c r="Q847" s="116"/>
      <c r="Z847" s="117"/>
      <c r="AA847" s="117"/>
      <c r="AB847" s="117"/>
      <c r="AC847" s="117"/>
      <c r="AK847" s="113"/>
      <c r="AL847" s="113"/>
      <c r="AM847" s="113"/>
      <c r="AN847" s="118"/>
      <c r="AO847" s="118"/>
      <c r="AP847" s="118"/>
      <c r="AQ847" s="118"/>
    </row>
    <row r="848" spans="2:43" ht="15.75" customHeight="1">
      <c r="B848" s="113"/>
      <c r="E848" s="114"/>
      <c r="Q848" s="116"/>
      <c r="Z848" s="117"/>
      <c r="AA848" s="117"/>
      <c r="AB848" s="117"/>
      <c r="AC848" s="117"/>
      <c r="AK848" s="113"/>
      <c r="AL848" s="113"/>
      <c r="AM848" s="113"/>
      <c r="AN848" s="118"/>
      <c r="AO848" s="118"/>
      <c r="AP848" s="118"/>
      <c r="AQ848" s="118"/>
    </row>
    <row r="849" spans="2:43" ht="15.75" customHeight="1">
      <c r="B849" s="113"/>
      <c r="E849" s="114"/>
      <c r="Q849" s="116"/>
      <c r="Z849" s="117"/>
      <c r="AA849" s="117"/>
      <c r="AB849" s="117"/>
      <c r="AC849" s="117"/>
      <c r="AK849" s="113"/>
      <c r="AL849" s="113"/>
      <c r="AM849" s="113"/>
      <c r="AN849" s="118"/>
      <c r="AO849" s="118"/>
      <c r="AP849" s="118"/>
      <c r="AQ849" s="118"/>
    </row>
    <row r="850" spans="2:43" ht="15.75" customHeight="1">
      <c r="B850" s="113"/>
      <c r="E850" s="114"/>
      <c r="Q850" s="116"/>
      <c r="Z850" s="117"/>
      <c r="AA850" s="117"/>
      <c r="AB850" s="117"/>
      <c r="AC850" s="117"/>
      <c r="AK850" s="113"/>
      <c r="AL850" s="113"/>
      <c r="AM850" s="113"/>
      <c r="AN850" s="118"/>
      <c r="AO850" s="118"/>
      <c r="AP850" s="118"/>
      <c r="AQ850" s="118"/>
    </row>
    <row r="851" spans="2:43" ht="15.75" customHeight="1">
      <c r="B851" s="113"/>
      <c r="E851" s="114"/>
      <c r="Q851" s="116"/>
      <c r="Z851" s="117"/>
      <c r="AA851" s="117"/>
      <c r="AB851" s="117"/>
      <c r="AC851" s="117"/>
      <c r="AK851" s="113"/>
      <c r="AL851" s="113"/>
      <c r="AM851" s="113"/>
      <c r="AN851" s="118"/>
      <c r="AO851" s="118"/>
      <c r="AP851" s="118"/>
      <c r="AQ851" s="118"/>
    </row>
    <row r="852" spans="2:43" ht="15.75" customHeight="1">
      <c r="B852" s="113"/>
      <c r="E852" s="114"/>
      <c r="Q852" s="116"/>
      <c r="Z852" s="117"/>
      <c r="AA852" s="117"/>
      <c r="AB852" s="117"/>
      <c r="AC852" s="117"/>
      <c r="AK852" s="113"/>
      <c r="AL852" s="113"/>
      <c r="AM852" s="113"/>
      <c r="AN852" s="118"/>
      <c r="AO852" s="118"/>
      <c r="AP852" s="118"/>
      <c r="AQ852" s="118"/>
    </row>
    <row r="853" spans="2:43" ht="15.75" customHeight="1">
      <c r="B853" s="113"/>
      <c r="E853" s="114"/>
      <c r="Q853" s="116"/>
      <c r="Z853" s="117"/>
      <c r="AA853" s="117"/>
      <c r="AB853" s="117"/>
      <c r="AC853" s="117"/>
      <c r="AK853" s="113"/>
      <c r="AL853" s="113"/>
      <c r="AM853" s="113"/>
      <c r="AN853" s="118"/>
      <c r="AO853" s="118"/>
      <c r="AP853" s="118"/>
      <c r="AQ853" s="118"/>
    </row>
    <row r="854" spans="2:43" ht="15.75" customHeight="1">
      <c r="B854" s="113"/>
      <c r="E854" s="114"/>
      <c r="Q854" s="116"/>
      <c r="Z854" s="117"/>
      <c r="AA854" s="117"/>
      <c r="AB854" s="117"/>
      <c r="AC854" s="117"/>
      <c r="AK854" s="113"/>
      <c r="AL854" s="113"/>
      <c r="AM854" s="113"/>
      <c r="AN854" s="118"/>
      <c r="AO854" s="118"/>
      <c r="AP854" s="118"/>
      <c r="AQ854" s="118"/>
    </row>
    <row r="855" spans="2:43" ht="15.75" customHeight="1">
      <c r="B855" s="113"/>
      <c r="E855" s="114"/>
      <c r="Q855" s="116"/>
      <c r="Z855" s="117"/>
      <c r="AA855" s="117"/>
      <c r="AB855" s="117"/>
      <c r="AC855" s="117"/>
      <c r="AK855" s="113"/>
      <c r="AL855" s="113"/>
      <c r="AM855" s="113"/>
      <c r="AN855" s="118"/>
      <c r="AO855" s="118"/>
      <c r="AP855" s="118"/>
      <c r="AQ855" s="118"/>
    </row>
    <row r="856" spans="2:43" ht="15.75" customHeight="1">
      <c r="B856" s="113"/>
      <c r="E856" s="114"/>
      <c r="Q856" s="116"/>
      <c r="Z856" s="117"/>
      <c r="AA856" s="117"/>
      <c r="AB856" s="117"/>
      <c r="AC856" s="117"/>
      <c r="AK856" s="113"/>
      <c r="AL856" s="113"/>
      <c r="AM856" s="113"/>
      <c r="AN856" s="118"/>
      <c r="AO856" s="118"/>
      <c r="AP856" s="118"/>
      <c r="AQ856" s="118"/>
    </row>
    <row r="857" spans="2:43" ht="15.75" customHeight="1">
      <c r="B857" s="113"/>
      <c r="E857" s="114"/>
      <c r="Q857" s="116"/>
      <c r="Z857" s="117"/>
      <c r="AA857" s="117"/>
      <c r="AB857" s="117"/>
      <c r="AC857" s="117"/>
      <c r="AK857" s="113"/>
      <c r="AL857" s="113"/>
      <c r="AM857" s="113"/>
      <c r="AN857" s="118"/>
      <c r="AO857" s="118"/>
      <c r="AP857" s="118"/>
      <c r="AQ857" s="118"/>
    </row>
    <row r="858" spans="2:43" ht="15.75" customHeight="1">
      <c r="B858" s="113"/>
      <c r="E858" s="114"/>
      <c r="Q858" s="116"/>
      <c r="Z858" s="117"/>
      <c r="AA858" s="117"/>
      <c r="AB858" s="117"/>
      <c r="AC858" s="117"/>
      <c r="AK858" s="113"/>
      <c r="AL858" s="113"/>
      <c r="AM858" s="113"/>
      <c r="AN858" s="118"/>
      <c r="AO858" s="118"/>
      <c r="AP858" s="118"/>
      <c r="AQ858" s="118"/>
    </row>
    <row r="859" spans="2:43" ht="15.75" customHeight="1">
      <c r="B859" s="113"/>
      <c r="E859" s="114"/>
      <c r="Q859" s="116"/>
      <c r="Z859" s="117"/>
      <c r="AA859" s="117"/>
      <c r="AB859" s="117"/>
      <c r="AC859" s="117"/>
      <c r="AK859" s="113"/>
      <c r="AL859" s="113"/>
      <c r="AM859" s="113"/>
      <c r="AN859" s="118"/>
      <c r="AO859" s="118"/>
      <c r="AP859" s="118"/>
      <c r="AQ859" s="118"/>
    </row>
    <row r="860" spans="2:43" ht="15.75" customHeight="1">
      <c r="B860" s="113"/>
      <c r="E860" s="114"/>
      <c r="Q860" s="116"/>
      <c r="Z860" s="117"/>
      <c r="AA860" s="117"/>
      <c r="AB860" s="117"/>
      <c r="AC860" s="117"/>
      <c r="AK860" s="113"/>
      <c r="AL860" s="113"/>
      <c r="AM860" s="113"/>
      <c r="AN860" s="118"/>
      <c r="AO860" s="118"/>
      <c r="AP860" s="118"/>
      <c r="AQ860" s="118"/>
    </row>
    <row r="861" spans="2:43" ht="15.75" customHeight="1">
      <c r="B861" s="113"/>
      <c r="E861" s="114"/>
      <c r="Q861" s="116"/>
      <c r="Z861" s="117"/>
      <c r="AA861" s="117"/>
      <c r="AB861" s="117"/>
      <c r="AC861" s="117"/>
      <c r="AK861" s="113"/>
      <c r="AL861" s="113"/>
      <c r="AM861" s="113"/>
      <c r="AN861" s="118"/>
      <c r="AO861" s="118"/>
      <c r="AP861" s="118"/>
      <c r="AQ861" s="118"/>
    </row>
    <row r="862" spans="2:43" ht="15.75" customHeight="1">
      <c r="B862" s="113"/>
      <c r="E862" s="114"/>
      <c r="Q862" s="116"/>
      <c r="Z862" s="117"/>
      <c r="AA862" s="117"/>
      <c r="AB862" s="117"/>
      <c r="AC862" s="117"/>
      <c r="AK862" s="113"/>
      <c r="AL862" s="113"/>
      <c r="AM862" s="113"/>
      <c r="AN862" s="118"/>
      <c r="AO862" s="118"/>
      <c r="AP862" s="118"/>
      <c r="AQ862" s="118"/>
    </row>
    <row r="863" spans="2:43" ht="15.75" customHeight="1">
      <c r="B863" s="113"/>
      <c r="E863" s="114"/>
      <c r="Q863" s="116"/>
      <c r="Z863" s="117"/>
      <c r="AA863" s="117"/>
      <c r="AB863" s="117"/>
      <c r="AC863" s="117"/>
      <c r="AK863" s="113"/>
      <c r="AL863" s="113"/>
      <c r="AM863" s="113"/>
      <c r="AN863" s="118"/>
      <c r="AO863" s="118"/>
      <c r="AP863" s="118"/>
      <c r="AQ863" s="118"/>
    </row>
    <row r="864" spans="2:43" ht="15.75" customHeight="1">
      <c r="B864" s="113"/>
      <c r="E864" s="114"/>
      <c r="Q864" s="116"/>
      <c r="Z864" s="117"/>
      <c r="AA864" s="117"/>
      <c r="AB864" s="117"/>
      <c r="AC864" s="117"/>
      <c r="AK864" s="113"/>
      <c r="AL864" s="113"/>
      <c r="AM864" s="113"/>
      <c r="AN864" s="118"/>
      <c r="AO864" s="118"/>
      <c r="AP864" s="118"/>
      <c r="AQ864" s="118"/>
    </row>
    <row r="865" spans="2:43" ht="15.75" customHeight="1">
      <c r="B865" s="113"/>
      <c r="E865" s="114"/>
      <c r="Q865" s="116"/>
      <c r="Z865" s="117"/>
      <c r="AA865" s="117"/>
      <c r="AB865" s="117"/>
      <c r="AC865" s="117"/>
      <c r="AK865" s="113"/>
      <c r="AL865" s="113"/>
      <c r="AM865" s="113"/>
      <c r="AN865" s="118"/>
      <c r="AO865" s="118"/>
      <c r="AP865" s="118"/>
      <c r="AQ865" s="118"/>
    </row>
    <row r="866" spans="2:43" ht="15.75" customHeight="1">
      <c r="B866" s="113"/>
      <c r="E866" s="114"/>
      <c r="Q866" s="116"/>
      <c r="Z866" s="117"/>
      <c r="AA866" s="117"/>
      <c r="AB866" s="117"/>
      <c r="AC866" s="117"/>
      <c r="AK866" s="113"/>
      <c r="AL866" s="113"/>
      <c r="AM866" s="113"/>
      <c r="AN866" s="118"/>
      <c r="AO866" s="118"/>
      <c r="AP866" s="118"/>
      <c r="AQ866" s="118"/>
    </row>
    <row r="867" spans="2:43" ht="15.75" customHeight="1">
      <c r="B867" s="113"/>
      <c r="E867" s="114"/>
      <c r="Q867" s="116"/>
      <c r="Z867" s="117"/>
      <c r="AA867" s="117"/>
      <c r="AB867" s="117"/>
      <c r="AC867" s="117"/>
      <c r="AK867" s="113"/>
      <c r="AL867" s="113"/>
      <c r="AM867" s="113"/>
      <c r="AN867" s="118"/>
      <c r="AO867" s="118"/>
      <c r="AP867" s="118"/>
      <c r="AQ867" s="118"/>
    </row>
    <row r="868" spans="2:43" ht="15.75" customHeight="1">
      <c r="B868" s="113"/>
      <c r="E868" s="114"/>
      <c r="Q868" s="116"/>
      <c r="Z868" s="117"/>
      <c r="AA868" s="117"/>
      <c r="AB868" s="117"/>
      <c r="AC868" s="117"/>
      <c r="AK868" s="113"/>
      <c r="AL868" s="113"/>
      <c r="AM868" s="113"/>
      <c r="AN868" s="118"/>
      <c r="AO868" s="118"/>
      <c r="AP868" s="118"/>
      <c r="AQ868" s="118"/>
    </row>
    <row r="869" spans="2:43" ht="15.75" customHeight="1">
      <c r="B869" s="113"/>
      <c r="E869" s="114"/>
      <c r="Q869" s="116"/>
      <c r="Z869" s="117"/>
      <c r="AA869" s="117"/>
      <c r="AB869" s="117"/>
      <c r="AC869" s="117"/>
      <c r="AK869" s="113"/>
      <c r="AL869" s="113"/>
      <c r="AM869" s="113"/>
      <c r="AN869" s="118"/>
      <c r="AO869" s="118"/>
      <c r="AP869" s="118"/>
      <c r="AQ869" s="118"/>
    </row>
    <row r="870" spans="2:43" ht="15.75" customHeight="1">
      <c r="B870" s="113"/>
      <c r="E870" s="114"/>
      <c r="Q870" s="116"/>
      <c r="Z870" s="117"/>
      <c r="AA870" s="117"/>
      <c r="AB870" s="117"/>
      <c r="AC870" s="117"/>
      <c r="AK870" s="113"/>
      <c r="AL870" s="113"/>
      <c r="AM870" s="113"/>
      <c r="AN870" s="118"/>
      <c r="AO870" s="118"/>
      <c r="AP870" s="118"/>
      <c r="AQ870" s="118"/>
    </row>
    <row r="871" spans="2:43" ht="15.75" customHeight="1">
      <c r="B871" s="113"/>
      <c r="E871" s="114"/>
      <c r="Q871" s="116"/>
      <c r="Z871" s="117"/>
      <c r="AA871" s="117"/>
      <c r="AB871" s="117"/>
      <c r="AC871" s="117"/>
      <c r="AK871" s="113"/>
      <c r="AL871" s="113"/>
      <c r="AM871" s="113"/>
      <c r="AN871" s="118"/>
      <c r="AO871" s="118"/>
      <c r="AP871" s="118"/>
      <c r="AQ871" s="118"/>
    </row>
    <row r="872" spans="2:43" ht="15.75" customHeight="1">
      <c r="B872" s="113"/>
      <c r="E872" s="114"/>
      <c r="Q872" s="116"/>
      <c r="Z872" s="117"/>
      <c r="AA872" s="117"/>
      <c r="AB872" s="117"/>
      <c r="AC872" s="117"/>
      <c r="AK872" s="113"/>
      <c r="AL872" s="113"/>
      <c r="AM872" s="113"/>
      <c r="AN872" s="118"/>
      <c r="AO872" s="118"/>
      <c r="AP872" s="118"/>
      <c r="AQ872" s="118"/>
    </row>
    <row r="873" spans="2:43" ht="15.75" customHeight="1">
      <c r="B873" s="113"/>
      <c r="E873" s="114"/>
      <c r="Q873" s="116"/>
      <c r="Z873" s="117"/>
      <c r="AA873" s="117"/>
      <c r="AB873" s="117"/>
      <c r="AC873" s="117"/>
      <c r="AK873" s="113"/>
      <c r="AL873" s="113"/>
      <c r="AM873" s="113"/>
      <c r="AN873" s="118"/>
      <c r="AO873" s="118"/>
      <c r="AP873" s="118"/>
      <c r="AQ873" s="118"/>
    </row>
    <row r="874" spans="2:43" ht="15.75" customHeight="1">
      <c r="B874" s="113"/>
      <c r="E874" s="114"/>
      <c r="Q874" s="116"/>
      <c r="Z874" s="117"/>
      <c r="AA874" s="117"/>
      <c r="AB874" s="117"/>
      <c r="AC874" s="117"/>
      <c r="AK874" s="113"/>
      <c r="AL874" s="113"/>
      <c r="AM874" s="113"/>
      <c r="AN874" s="118"/>
      <c r="AO874" s="118"/>
      <c r="AP874" s="118"/>
      <c r="AQ874" s="118"/>
    </row>
    <row r="875" spans="2:43" ht="15.75" customHeight="1">
      <c r="B875" s="113"/>
      <c r="E875" s="114"/>
      <c r="Q875" s="116"/>
      <c r="Z875" s="117"/>
      <c r="AA875" s="117"/>
      <c r="AB875" s="117"/>
      <c r="AC875" s="117"/>
      <c r="AK875" s="113"/>
      <c r="AL875" s="113"/>
      <c r="AM875" s="113"/>
      <c r="AN875" s="118"/>
      <c r="AO875" s="118"/>
      <c r="AP875" s="118"/>
      <c r="AQ875" s="118"/>
    </row>
    <row r="876" spans="2:43" ht="15.75" customHeight="1">
      <c r="B876" s="113"/>
      <c r="E876" s="114"/>
      <c r="Q876" s="116"/>
      <c r="Z876" s="117"/>
      <c r="AA876" s="117"/>
      <c r="AB876" s="117"/>
      <c r="AC876" s="117"/>
      <c r="AK876" s="113"/>
      <c r="AL876" s="113"/>
      <c r="AM876" s="113"/>
      <c r="AN876" s="118"/>
      <c r="AO876" s="118"/>
      <c r="AP876" s="118"/>
      <c r="AQ876" s="118"/>
    </row>
    <row r="877" spans="2:43" ht="15.75" customHeight="1">
      <c r="B877" s="113"/>
      <c r="E877" s="114"/>
      <c r="Q877" s="116"/>
      <c r="Z877" s="117"/>
      <c r="AA877" s="117"/>
      <c r="AB877" s="117"/>
      <c r="AC877" s="117"/>
      <c r="AK877" s="113"/>
      <c r="AL877" s="113"/>
      <c r="AM877" s="113"/>
      <c r="AN877" s="118"/>
      <c r="AO877" s="118"/>
      <c r="AP877" s="118"/>
      <c r="AQ877" s="118"/>
    </row>
    <row r="878" spans="2:43" ht="15.75" customHeight="1">
      <c r="B878" s="113"/>
      <c r="E878" s="114"/>
      <c r="Q878" s="116"/>
      <c r="Z878" s="117"/>
      <c r="AA878" s="117"/>
      <c r="AB878" s="117"/>
      <c r="AC878" s="117"/>
      <c r="AK878" s="113"/>
      <c r="AL878" s="113"/>
      <c r="AM878" s="113"/>
      <c r="AN878" s="118"/>
      <c r="AO878" s="118"/>
      <c r="AP878" s="118"/>
      <c r="AQ878" s="118"/>
    </row>
    <row r="879" spans="2:43" ht="15.75" customHeight="1">
      <c r="B879" s="113"/>
      <c r="E879" s="114"/>
      <c r="Q879" s="116"/>
      <c r="Z879" s="117"/>
      <c r="AA879" s="117"/>
      <c r="AB879" s="117"/>
      <c r="AC879" s="117"/>
      <c r="AK879" s="113"/>
      <c r="AL879" s="113"/>
      <c r="AM879" s="113"/>
      <c r="AN879" s="118"/>
      <c r="AO879" s="118"/>
      <c r="AP879" s="118"/>
      <c r="AQ879" s="118"/>
    </row>
    <row r="880" spans="2:43" ht="15.75" customHeight="1">
      <c r="B880" s="113"/>
      <c r="E880" s="114"/>
      <c r="Q880" s="116"/>
      <c r="Z880" s="117"/>
      <c r="AA880" s="117"/>
      <c r="AB880" s="117"/>
      <c r="AC880" s="117"/>
      <c r="AK880" s="113"/>
      <c r="AL880" s="113"/>
      <c r="AM880" s="113"/>
      <c r="AN880" s="118"/>
      <c r="AO880" s="118"/>
      <c r="AP880" s="118"/>
      <c r="AQ880" s="118"/>
    </row>
    <row r="881" spans="2:43" ht="15.75" customHeight="1">
      <c r="B881" s="113"/>
      <c r="E881" s="114"/>
      <c r="Q881" s="116"/>
      <c r="Z881" s="117"/>
      <c r="AA881" s="117"/>
      <c r="AB881" s="117"/>
      <c r="AC881" s="117"/>
      <c r="AK881" s="113"/>
      <c r="AL881" s="113"/>
      <c r="AM881" s="113"/>
      <c r="AN881" s="118"/>
      <c r="AO881" s="118"/>
      <c r="AP881" s="118"/>
      <c r="AQ881" s="118"/>
    </row>
    <row r="882" spans="2:43" ht="15.75" customHeight="1">
      <c r="B882" s="113"/>
      <c r="E882" s="114"/>
      <c r="Q882" s="116"/>
      <c r="Z882" s="117"/>
      <c r="AA882" s="117"/>
      <c r="AB882" s="117"/>
      <c r="AC882" s="117"/>
      <c r="AK882" s="113"/>
      <c r="AL882" s="113"/>
      <c r="AM882" s="113"/>
      <c r="AN882" s="118"/>
      <c r="AO882" s="118"/>
      <c r="AP882" s="118"/>
      <c r="AQ882" s="118"/>
    </row>
    <row r="883" spans="2:43" ht="15.75" customHeight="1">
      <c r="B883" s="113"/>
      <c r="E883" s="114"/>
      <c r="Q883" s="116"/>
      <c r="Z883" s="117"/>
      <c r="AA883" s="117"/>
      <c r="AB883" s="117"/>
      <c r="AC883" s="117"/>
      <c r="AK883" s="113"/>
      <c r="AL883" s="113"/>
      <c r="AM883" s="113"/>
      <c r="AN883" s="118"/>
      <c r="AO883" s="118"/>
      <c r="AP883" s="118"/>
      <c r="AQ883" s="118"/>
    </row>
    <row r="884" spans="2:43" ht="15.75" customHeight="1">
      <c r="B884" s="113"/>
      <c r="E884" s="114"/>
      <c r="Q884" s="116"/>
      <c r="Z884" s="117"/>
      <c r="AA884" s="117"/>
      <c r="AB884" s="117"/>
      <c r="AC884" s="117"/>
      <c r="AK884" s="113"/>
      <c r="AL884" s="113"/>
      <c r="AM884" s="113"/>
      <c r="AN884" s="118"/>
      <c r="AO884" s="118"/>
      <c r="AP884" s="118"/>
      <c r="AQ884" s="118"/>
    </row>
    <row r="885" spans="2:43" ht="15.75" customHeight="1">
      <c r="B885" s="113"/>
      <c r="E885" s="114"/>
      <c r="Q885" s="116"/>
      <c r="Z885" s="117"/>
      <c r="AA885" s="117"/>
      <c r="AB885" s="117"/>
      <c r="AC885" s="117"/>
      <c r="AK885" s="113"/>
      <c r="AL885" s="113"/>
      <c r="AM885" s="113"/>
      <c r="AN885" s="118"/>
      <c r="AO885" s="118"/>
      <c r="AP885" s="118"/>
      <c r="AQ885" s="118"/>
    </row>
    <row r="886" spans="2:43" ht="15.75" customHeight="1">
      <c r="B886" s="113"/>
      <c r="E886" s="114"/>
      <c r="Q886" s="116"/>
      <c r="Z886" s="117"/>
      <c r="AA886" s="117"/>
      <c r="AB886" s="117"/>
      <c r="AC886" s="117"/>
      <c r="AK886" s="113"/>
      <c r="AL886" s="113"/>
      <c r="AM886" s="113"/>
      <c r="AN886" s="118"/>
      <c r="AO886" s="118"/>
      <c r="AP886" s="118"/>
      <c r="AQ886" s="118"/>
    </row>
    <row r="887" spans="2:43" ht="15.75" customHeight="1">
      <c r="B887" s="113"/>
      <c r="E887" s="114"/>
      <c r="Q887" s="116"/>
      <c r="Z887" s="117"/>
      <c r="AA887" s="117"/>
      <c r="AB887" s="117"/>
      <c r="AC887" s="117"/>
      <c r="AK887" s="113"/>
      <c r="AL887" s="113"/>
      <c r="AM887" s="113"/>
      <c r="AN887" s="118"/>
      <c r="AO887" s="118"/>
      <c r="AP887" s="118"/>
      <c r="AQ887" s="118"/>
    </row>
    <row r="888" spans="2:43" ht="15.75" customHeight="1">
      <c r="B888" s="113"/>
      <c r="E888" s="114"/>
      <c r="Q888" s="116"/>
      <c r="Z888" s="117"/>
      <c r="AA888" s="117"/>
      <c r="AB888" s="117"/>
      <c r="AC888" s="117"/>
      <c r="AK888" s="113"/>
      <c r="AL888" s="113"/>
      <c r="AM888" s="113"/>
      <c r="AN888" s="118"/>
      <c r="AO888" s="118"/>
      <c r="AP888" s="118"/>
      <c r="AQ888" s="118"/>
    </row>
    <row r="889" spans="2:43" ht="15.75" customHeight="1">
      <c r="B889" s="113"/>
      <c r="E889" s="114"/>
      <c r="Q889" s="116"/>
      <c r="Z889" s="117"/>
      <c r="AA889" s="117"/>
      <c r="AB889" s="117"/>
      <c r="AC889" s="117"/>
      <c r="AK889" s="113"/>
      <c r="AL889" s="113"/>
      <c r="AM889" s="113"/>
      <c r="AN889" s="118"/>
      <c r="AO889" s="118"/>
      <c r="AP889" s="118"/>
      <c r="AQ889" s="118"/>
    </row>
    <row r="890" spans="2:43" ht="15.75" customHeight="1">
      <c r="B890" s="113"/>
      <c r="E890" s="114"/>
      <c r="Q890" s="116"/>
      <c r="Z890" s="117"/>
      <c r="AA890" s="117"/>
      <c r="AB890" s="117"/>
      <c r="AC890" s="117"/>
      <c r="AK890" s="113"/>
      <c r="AL890" s="113"/>
      <c r="AM890" s="113"/>
      <c r="AN890" s="118"/>
      <c r="AO890" s="118"/>
      <c r="AP890" s="118"/>
      <c r="AQ890" s="118"/>
    </row>
    <row r="891" spans="2:43" ht="15.75" customHeight="1">
      <c r="B891" s="113"/>
      <c r="E891" s="114"/>
      <c r="Q891" s="116"/>
      <c r="Z891" s="117"/>
      <c r="AA891" s="117"/>
      <c r="AB891" s="117"/>
      <c r="AC891" s="117"/>
      <c r="AK891" s="113"/>
      <c r="AL891" s="113"/>
      <c r="AM891" s="113"/>
      <c r="AN891" s="118"/>
      <c r="AO891" s="118"/>
      <c r="AP891" s="118"/>
      <c r="AQ891" s="118"/>
    </row>
    <row r="892" spans="2:43" ht="15.75" customHeight="1">
      <c r="B892" s="113"/>
      <c r="E892" s="114"/>
      <c r="Q892" s="116"/>
      <c r="Z892" s="117"/>
      <c r="AA892" s="117"/>
      <c r="AB892" s="117"/>
      <c r="AC892" s="117"/>
      <c r="AK892" s="113"/>
      <c r="AL892" s="113"/>
      <c r="AM892" s="113"/>
      <c r="AN892" s="118"/>
      <c r="AO892" s="118"/>
      <c r="AP892" s="118"/>
      <c r="AQ892" s="118"/>
    </row>
    <row r="893" spans="2:43" ht="15.75" customHeight="1">
      <c r="B893" s="113"/>
      <c r="E893" s="114"/>
      <c r="Q893" s="116"/>
      <c r="Z893" s="117"/>
      <c r="AA893" s="117"/>
      <c r="AB893" s="117"/>
      <c r="AC893" s="117"/>
      <c r="AK893" s="113"/>
      <c r="AL893" s="113"/>
      <c r="AM893" s="113"/>
      <c r="AN893" s="118"/>
      <c r="AO893" s="118"/>
      <c r="AP893" s="118"/>
      <c r="AQ893" s="118"/>
    </row>
    <row r="894" spans="2:43" ht="15.75" customHeight="1">
      <c r="B894" s="113"/>
      <c r="E894" s="114"/>
      <c r="Q894" s="116"/>
      <c r="Z894" s="117"/>
      <c r="AA894" s="117"/>
      <c r="AB894" s="117"/>
      <c r="AC894" s="117"/>
      <c r="AK894" s="113"/>
      <c r="AL894" s="113"/>
      <c r="AM894" s="113"/>
      <c r="AN894" s="118"/>
      <c r="AO894" s="118"/>
      <c r="AP894" s="118"/>
      <c r="AQ894" s="118"/>
    </row>
    <row r="895" spans="2:43" ht="15.75" customHeight="1">
      <c r="B895" s="113"/>
      <c r="E895" s="114"/>
      <c r="Q895" s="116"/>
      <c r="Z895" s="117"/>
      <c r="AA895" s="117"/>
      <c r="AB895" s="117"/>
      <c r="AC895" s="117"/>
      <c r="AK895" s="113"/>
      <c r="AL895" s="113"/>
      <c r="AM895" s="113"/>
      <c r="AN895" s="118"/>
      <c r="AO895" s="118"/>
      <c r="AP895" s="118"/>
      <c r="AQ895" s="118"/>
    </row>
    <row r="896" spans="2:43" ht="15.75" customHeight="1">
      <c r="B896" s="113"/>
      <c r="E896" s="114"/>
      <c r="Q896" s="116"/>
      <c r="Z896" s="117"/>
      <c r="AA896" s="117"/>
      <c r="AB896" s="117"/>
      <c r="AC896" s="117"/>
      <c r="AK896" s="113"/>
      <c r="AL896" s="113"/>
      <c r="AM896" s="113"/>
      <c r="AN896" s="118"/>
      <c r="AO896" s="118"/>
      <c r="AP896" s="118"/>
      <c r="AQ896" s="118"/>
    </row>
    <row r="897" spans="2:43" ht="15.75" customHeight="1">
      <c r="B897" s="113"/>
      <c r="E897" s="114"/>
      <c r="Q897" s="116"/>
      <c r="Z897" s="117"/>
      <c r="AA897" s="117"/>
      <c r="AB897" s="117"/>
      <c r="AC897" s="117"/>
      <c r="AK897" s="113"/>
      <c r="AL897" s="113"/>
      <c r="AM897" s="113"/>
      <c r="AN897" s="118"/>
      <c r="AO897" s="118"/>
      <c r="AP897" s="118"/>
      <c r="AQ897" s="118"/>
    </row>
    <row r="898" spans="2:43" ht="15.75" customHeight="1">
      <c r="B898" s="113"/>
      <c r="E898" s="114"/>
      <c r="Q898" s="116"/>
      <c r="Z898" s="117"/>
      <c r="AA898" s="117"/>
      <c r="AB898" s="117"/>
      <c r="AC898" s="117"/>
      <c r="AK898" s="113"/>
      <c r="AL898" s="113"/>
      <c r="AM898" s="113"/>
      <c r="AN898" s="118"/>
      <c r="AO898" s="118"/>
      <c r="AP898" s="118"/>
      <c r="AQ898" s="118"/>
    </row>
    <row r="899" spans="2:43" ht="15.75" customHeight="1">
      <c r="B899" s="113"/>
      <c r="E899" s="114"/>
      <c r="Q899" s="116"/>
      <c r="Z899" s="117"/>
      <c r="AA899" s="117"/>
      <c r="AB899" s="117"/>
      <c r="AC899" s="117"/>
      <c r="AK899" s="113"/>
      <c r="AL899" s="113"/>
      <c r="AM899" s="113"/>
      <c r="AN899" s="118"/>
      <c r="AO899" s="118"/>
      <c r="AP899" s="118"/>
      <c r="AQ899" s="118"/>
    </row>
    <row r="900" spans="2:43" ht="15.75" customHeight="1">
      <c r="B900" s="113"/>
      <c r="E900" s="114"/>
      <c r="Q900" s="116"/>
      <c r="Z900" s="117"/>
      <c r="AA900" s="117"/>
      <c r="AB900" s="117"/>
      <c r="AC900" s="117"/>
      <c r="AK900" s="113"/>
      <c r="AL900" s="113"/>
      <c r="AM900" s="113"/>
      <c r="AN900" s="118"/>
      <c r="AO900" s="118"/>
      <c r="AP900" s="118"/>
      <c r="AQ900" s="118"/>
    </row>
    <row r="901" spans="2:43" ht="15.75" customHeight="1">
      <c r="B901" s="113"/>
      <c r="E901" s="114"/>
      <c r="Q901" s="116"/>
      <c r="Z901" s="117"/>
      <c r="AA901" s="117"/>
      <c r="AB901" s="117"/>
      <c r="AC901" s="117"/>
      <c r="AK901" s="113"/>
      <c r="AL901" s="113"/>
      <c r="AM901" s="113"/>
      <c r="AN901" s="118"/>
      <c r="AO901" s="118"/>
      <c r="AP901" s="118"/>
      <c r="AQ901" s="118"/>
    </row>
    <row r="902" spans="2:43" ht="15.75" customHeight="1">
      <c r="B902" s="113"/>
      <c r="E902" s="114"/>
      <c r="Q902" s="116"/>
      <c r="Z902" s="117"/>
      <c r="AA902" s="117"/>
      <c r="AB902" s="117"/>
      <c r="AC902" s="117"/>
      <c r="AK902" s="113"/>
      <c r="AL902" s="113"/>
      <c r="AM902" s="113"/>
      <c r="AN902" s="118"/>
      <c r="AO902" s="118"/>
      <c r="AP902" s="118"/>
      <c r="AQ902" s="118"/>
    </row>
    <row r="903" spans="2:43" ht="15.75" customHeight="1">
      <c r="B903" s="113"/>
      <c r="E903" s="114"/>
      <c r="Q903" s="116"/>
      <c r="Z903" s="117"/>
      <c r="AA903" s="117"/>
      <c r="AB903" s="117"/>
      <c r="AC903" s="117"/>
      <c r="AK903" s="113"/>
      <c r="AL903" s="113"/>
      <c r="AM903" s="113"/>
      <c r="AN903" s="118"/>
      <c r="AO903" s="118"/>
      <c r="AP903" s="118"/>
      <c r="AQ903" s="118"/>
    </row>
    <row r="904" spans="2:43" ht="15.75" customHeight="1">
      <c r="B904" s="113"/>
      <c r="E904" s="114"/>
      <c r="Q904" s="116"/>
      <c r="Z904" s="117"/>
      <c r="AA904" s="117"/>
      <c r="AB904" s="117"/>
      <c r="AC904" s="117"/>
      <c r="AK904" s="113"/>
      <c r="AL904" s="113"/>
      <c r="AM904" s="113"/>
      <c r="AN904" s="118"/>
      <c r="AO904" s="118"/>
      <c r="AP904" s="118"/>
      <c r="AQ904" s="118"/>
    </row>
    <row r="905" spans="2:43" ht="15.75" customHeight="1">
      <c r="B905" s="113"/>
      <c r="E905" s="114"/>
      <c r="Q905" s="116"/>
      <c r="Z905" s="117"/>
      <c r="AA905" s="117"/>
      <c r="AB905" s="117"/>
      <c r="AC905" s="117"/>
      <c r="AK905" s="113"/>
      <c r="AL905" s="113"/>
      <c r="AM905" s="113"/>
      <c r="AN905" s="118"/>
      <c r="AO905" s="118"/>
      <c r="AP905" s="118"/>
      <c r="AQ905" s="118"/>
    </row>
    <row r="906" spans="2:43" ht="15.75" customHeight="1">
      <c r="B906" s="113"/>
      <c r="E906" s="114"/>
      <c r="Q906" s="116"/>
      <c r="Z906" s="117"/>
      <c r="AA906" s="117"/>
      <c r="AB906" s="117"/>
      <c r="AC906" s="117"/>
      <c r="AK906" s="113"/>
      <c r="AL906" s="113"/>
      <c r="AM906" s="113"/>
      <c r="AN906" s="118"/>
      <c r="AO906" s="118"/>
      <c r="AP906" s="118"/>
      <c r="AQ906" s="118"/>
    </row>
    <row r="907" spans="2:43" ht="15.75" customHeight="1">
      <c r="B907" s="113"/>
      <c r="E907" s="114"/>
      <c r="Q907" s="116"/>
      <c r="Z907" s="117"/>
      <c r="AA907" s="117"/>
      <c r="AB907" s="117"/>
      <c r="AC907" s="117"/>
      <c r="AK907" s="113"/>
      <c r="AL907" s="113"/>
      <c r="AM907" s="113"/>
      <c r="AN907" s="118"/>
      <c r="AO907" s="118"/>
      <c r="AP907" s="118"/>
      <c r="AQ907" s="118"/>
    </row>
    <row r="908" spans="2:43" ht="15.75" customHeight="1">
      <c r="B908" s="113"/>
      <c r="E908" s="114"/>
      <c r="Q908" s="116"/>
      <c r="Z908" s="117"/>
      <c r="AA908" s="117"/>
      <c r="AB908" s="117"/>
      <c r="AC908" s="117"/>
      <c r="AK908" s="113"/>
      <c r="AL908" s="113"/>
      <c r="AM908" s="113"/>
      <c r="AN908" s="118"/>
      <c r="AO908" s="118"/>
      <c r="AP908" s="118"/>
      <c r="AQ908" s="118"/>
    </row>
    <row r="909" spans="2:43" ht="15.75" customHeight="1">
      <c r="B909" s="113"/>
      <c r="E909" s="114"/>
      <c r="Q909" s="116"/>
      <c r="Z909" s="117"/>
      <c r="AA909" s="117"/>
      <c r="AB909" s="117"/>
      <c r="AC909" s="117"/>
      <c r="AK909" s="113"/>
      <c r="AL909" s="113"/>
      <c r="AM909" s="113"/>
      <c r="AN909" s="118"/>
      <c r="AO909" s="118"/>
      <c r="AP909" s="118"/>
      <c r="AQ909" s="118"/>
    </row>
    <row r="910" spans="2:43" ht="15.75" customHeight="1">
      <c r="B910" s="113"/>
      <c r="E910" s="114"/>
      <c r="Q910" s="116"/>
      <c r="Z910" s="117"/>
      <c r="AA910" s="117"/>
      <c r="AB910" s="117"/>
      <c r="AC910" s="117"/>
      <c r="AK910" s="113"/>
      <c r="AL910" s="113"/>
      <c r="AM910" s="113"/>
      <c r="AN910" s="118"/>
      <c r="AO910" s="118"/>
      <c r="AP910" s="118"/>
      <c r="AQ910" s="118"/>
    </row>
    <row r="911" spans="2:43" ht="15.75" customHeight="1">
      <c r="B911" s="113"/>
      <c r="E911" s="114"/>
      <c r="Q911" s="116"/>
      <c r="Z911" s="117"/>
      <c r="AA911" s="117"/>
      <c r="AB911" s="117"/>
      <c r="AC911" s="117"/>
      <c r="AK911" s="113"/>
      <c r="AL911" s="113"/>
      <c r="AM911" s="113"/>
      <c r="AN911" s="118"/>
      <c r="AO911" s="118"/>
      <c r="AP911" s="118"/>
      <c r="AQ911" s="118"/>
    </row>
    <row r="912" spans="2:43" ht="15.75" customHeight="1">
      <c r="B912" s="113"/>
      <c r="E912" s="114"/>
      <c r="Q912" s="116"/>
      <c r="Z912" s="117"/>
      <c r="AA912" s="117"/>
      <c r="AB912" s="117"/>
      <c r="AC912" s="117"/>
      <c r="AK912" s="113"/>
      <c r="AL912" s="113"/>
      <c r="AM912" s="113"/>
      <c r="AN912" s="118"/>
      <c r="AO912" s="118"/>
      <c r="AP912" s="118"/>
      <c r="AQ912" s="118"/>
    </row>
    <row r="913" spans="2:43" ht="15.75" customHeight="1">
      <c r="B913" s="113"/>
      <c r="E913" s="114"/>
      <c r="Q913" s="116"/>
      <c r="Z913" s="117"/>
      <c r="AA913" s="117"/>
      <c r="AB913" s="117"/>
      <c r="AC913" s="117"/>
      <c r="AK913" s="113"/>
      <c r="AL913" s="113"/>
      <c r="AM913" s="113"/>
      <c r="AN913" s="118"/>
      <c r="AO913" s="118"/>
      <c r="AP913" s="118"/>
      <c r="AQ913" s="118"/>
    </row>
    <row r="914" spans="2:43" ht="15.75" customHeight="1">
      <c r="B914" s="113"/>
      <c r="E914" s="114"/>
      <c r="Q914" s="116"/>
      <c r="Z914" s="117"/>
      <c r="AA914" s="117"/>
      <c r="AB914" s="117"/>
      <c r="AC914" s="117"/>
      <c r="AK914" s="113"/>
      <c r="AL914" s="113"/>
      <c r="AM914" s="113"/>
      <c r="AN914" s="118"/>
      <c r="AO914" s="118"/>
      <c r="AP914" s="118"/>
      <c r="AQ914" s="118"/>
    </row>
    <row r="915" spans="2:43" ht="15.75" customHeight="1">
      <c r="B915" s="113"/>
      <c r="E915" s="114"/>
      <c r="Q915" s="116"/>
      <c r="Z915" s="117"/>
      <c r="AA915" s="117"/>
      <c r="AB915" s="117"/>
      <c r="AC915" s="117"/>
      <c r="AK915" s="113"/>
      <c r="AL915" s="113"/>
      <c r="AM915" s="113"/>
      <c r="AN915" s="118"/>
      <c r="AO915" s="118"/>
      <c r="AP915" s="118"/>
      <c r="AQ915" s="118"/>
    </row>
    <row r="916" spans="2:43" ht="15.75" customHeight="1">
      <c r="B916" s="113"/>
      <c r="E916" s="114"/>
      <c r="Q916" s="116"/>
      <c r="Z916" s="117"/>
      <c r="AA916" s="117"/>
      <c r="AB916" s="117"/>
      <c r="AC916" s="117"/>
      <c r="AK916" s="113"/>
      <c r="AL916" s="113"/>
      <c r="AM916" s="113"/>
      <c r="AN916" s="118"/>
      <c r="AO916" s="118"/>
      <c r="AP916" s="118"/>
      <c r="AQ916" s="118"/>
    </row>
    <row r="917" spans="2:43" ht="15.75" customHeight="1">
      <c r="B917" s="113"/>
      <c r="E917" s="114"/>
      <c r="Q917" s="116"/>
      <c r="Z917" s="117"/>
      <c r="AA917" s="117"/>
      <c r="AB917" s="117"/>
      <c r="AC917" s="117"/>
      <c r="AK917" s="113"/>
      <c r="AL917" s="113"/>
      <c r="AM917" s="113"/>
      <c r="AN917" s="118"/>
      <c r="AO917" s="118"/>
      <c r="AP917" s="118"/>
      <c r="AQ917" s="118"/>
    </row>
    <row r="918" spans="2:43" ht="15.75" customHeight="1">
      <c r="B918" s="113"/>
      <c r="E918" s="114"/>
      <c r="Q918" s="116"/>
      <c r="Z918" s="117"/>
      <c r="AA918" s="117"/>
      <c r="AB918" s="117"/>
      <c r="AC918" s="117"/>
      <c r="AK918" s="113"/>
      <c r="AL918" s="113"/>
      <c r="AM918" s="113"/>
      <c r="AN918" s="118"/>
      <c r="AO918" s="118"/>
      <c r="AP918" s="118"/>
      <c r="AQ918" s="118"/>
    </row>
    <row r="919" spans="2:43" ht="15.75" customHeight="1">
      <c r="B919" s="113"/>
      <c r="E919" s="114"/>
      <c r="Q919" s="116"/>
      <c r="Z919" s="117"/>
      <c r="AA919" s="117"/>
      <c r="AB919" s="117"/>
      <c r="AC919" s="117"/>
      <c r="AK919" s="113"/>
      <c r="AL919" s="113"/>
      <c r="AM919" s="113"/>
      <c r="AN919" s="118"/>
      <c r="AO919" s="118"/>
      <c r="AP919" s="118"/>
      <c r="AQ919" s="118"/>
    </row>
    <row r="920" spans="2:43" ht="15.75" customHeight="1">
      <c r="B920" s="113"/>
      <c r="E920" s="114"/>
      <c r="Q920" s="116"/>
      <c r="Z920" s="117"/>
      <c r="AA920" s="117"/>
      <c r="AB920" s="117"/>
      <c r="AC920" s="117"/>
      <c r="AK920" s="113"/>
      <c r="AL920" s="113"/>
      <c r="AM920" s="113"/>
      <c r="AN920" s="118"/>
      <c r="AO920" s="118"/>
      <c r="AP920" s="118"/>
      <c r="AQ920" s="118"/>
    </row>
    <row r="921" spans="2:43" ht="15.75" customHeight="1">
      <c r="B921" s="113"/>
      <c r="E921" s="114"/>
      <c r="Q921" s="116"/>
      <c r="Z921" s="117"/>
      <c r="AA921" s="117"/>
      <c r="AB921" s="117"/>
      <c r="AC921" s="117"/>
      <c r="AK921" s="113"/>
      <c r="AL921" s="113"/>
      <c r="AM921" s="113"/>
      <c r="AN921" s="118"/>
      <c r="AO921" s="118"/>
      <c r="AP921" s="118"/>
      <c r="AQ921" s="118"/>
    </row>
    <row r="922" spans="2:43" ht="15.75" customHeight="1">
      <c r="B922" s="113"/>
      <c r="E922" s="114"/>
      <c r="Q922" s="116"/>
      <c r="Z922" s="117"/>
      <c r="AA922" s="117"/>
      <c r="AB922" s="117"/>
      <c r="AC922" s="117"/>
      <c r="AK922" s="113"/>
      <c r="AL922" s="113"/>
      <c r="AM922" s="113"/>
      <c r="AN922" s="118"/>
      <c r="AO922" s="118"/>
      <c r="AP922" s="118"/>
      <c r="AQ922" s="118"/>
    </row>
    <row r="923" spans="2:43" ht="15.75" customHeight="1">
      <c r="B923" s="113"/>
      <c r="E923" s="114"/>
      <c r="Q923" s="116"/>
      <c r="Z923" s="117"/>
      <c r="AA923" s="117"/>
      <c r="AB923" s="117"/>
      <c r="AC923" s="117"/>
      <c r="AK923" s="113"/>
      <c r="AL923" s="113"/>
      <c r="AM923" s="113"/>
      <c r="AN923" s="118"/>
      <c r="AO923" s="118"/>
      <c r="AP923" s="118"/>
      <c r="AQ923" s="118"/>
    </row>
    <row r="924" spans="2:43" ht="15.75" customHeight="1">
      <c r="B924" s="113"/>
      <c r="E924" s="114"/>
      <c r="Q924" s="116"/>
      <c r="Z924" s="117"/>
      <c r="AA924" s="117"/>
      <c r="AB924" s="117"/>
      <c r="AC924" s="117"/>
      <c r="AK924" s="113"/>
      <c r="AL924" s="113"/>
      <c r="AM924" s="113"/>
      <c r="AN924" s="118"/>
      <c r="AO924" s="118"/>
      <c r="AP924" s="118"/>
      <c r="AQ924" s="118"/>
    </row>
    <row r="925" spans="2:43" ht="15.75" customHeight="1">
      <c r="B925" s="113"/>
      <c r="E925" s="114"/>
      <c r="Q925" s="116"/>
      <c r="Z925" s="117"/>
      <c r="AA925" s="117"/>
      <c r="AB925" s="117"/>
      <c r="AC925" s="117"/>
      <c r="AK925" s="113"/>
      <c r="AL925" s="113"/>
      <c r="AM925" s="113"/>
      <c r="AN925" s="118"/>
      <c r="AO925" s="118"/>
      <c r="AP925" s="118"/>
      <c r="AQ925" s="118"/>
    </row>
    <row r="926" spans="2:43" ht="15.75" customHeight="1">
      <c r="B926" s="113"/>
      <c r="E926" s="114"/>
      <c r="Q926" s="116"/>
      <c r="Z926" s="117"/>
      <c r="AA926" s="117"/>
      <c r="AB926" s="117"/>
      <c r="AC926" s="117"/>
      <c r="AK926" s="113"/>
      <c r="AL926" s="113"/>
      <c r="AM926" s="113"/>
      <c r="AN926" s="118"/>
      <c r="AO926" s="118"/>
      <c r="AP926" s="118"/>
      <c r="AQ926" s="118"/>
    </row>
    <row r="927" spans="2:43" ht="15.75" customHeight="1">
      <c r="B927" s="113"/>
      <c r="E927" s="114"/>
      <c r="Q927" s="116"/>
      <c r="Z927" s="117"/>
      <c r="AA927" s="117"/>
      <c r="AB927" s="117"/>
      <c r="AC927" s="117"/>
      <c r="AK927" s="113"/>
      <c r="AL927" s="113"/>
      <c r="AM927" s="113"/>
      <c r="AN927" s="118"/>
      <c r="AO927" s="118"/>
      <c r="AP927" s="118"/>
      <c r="AQ927" s="118"/>
    </row>
    <row r="928" spans="2:43" ht="15.75" customHeight="1">
      <c r="B928" s="113"/>
      <c r="E928" s="114"/>
      <c r="Q928" s="116"/>
      <c r="Z928" s="117"/>
      <c r="AA928" s="117"/>
      <c r="AB928" s="117"/>
      <c r="AC928" s="117"/>
      <c r="AK928" s="113"/>
      <c r="AL928" s="113"/>
      <c r="AM928" s="113"/>
      <c r="AN928" s="118"/>
      <c r="AO928" s="118"/>
      <c r="AP928" s="118"/>
      <c r="AQ928" s="118"/>
    </row>
    <row r="929" spans="2:43" ht="15.75" customHeight="1">
      <c r="B929" s="113"/>
      <c r="E929" s="114"/>
      <c r="Q929" s="116"/>
      <c r="Z929" s="117"/>
      <c r="AA929" s="117"/>
      <c r="AB929" s="117"/>
      <c r="AC929" s="117"/>
      <c r="AK929" s="113"/>
      <c r="AL929" s="113"/>
      <c r="AM929" s="113"/>
      <c r="AN929" s="118"/>
      <c r="AO929" s="118"/>
      <c r="AP929" s="118"/>
      <c r="AQ929" s="118"/>
    </row>
    <row r="930" spans="2:43" ht="15.75" customHeight="1">
      <c r="B930" s="113"/>
      <c r="E930" s="114"/>
      <c r="Q930" s="116"/>
      <c r="Z930" s="117"/>
      <c r="AA930" s="117"/>
      <c r="AB930" s="117"/>
      <c r="AC930" s="117"/>
      <c r="AK930" s="113"/>
      <c r="AL930" s="113"/>
      <c r="AM930" s="113"/>
      <c r="AN930" s="118"/>
      <c r="AO930" s="118"/>
      <c r="AP930" s="118"/>
      <c r="AQ930" s="118"/>
    </row>
    <row r="931" spans="2:43" ht="15.75" customHeight="1">
      <c r="B931" s="113"/>
      <c r="E931" s="114"/>
      <c r="Q931" s="116"/>
      <c r="Z931" s="117"/>
      <c r="AA931" s="117"/>
      <c r="AB931" s="117"/>
      <c r="AC931" s="117"/>
      <c r="AK931" s="113"/>
      <c r="AL931" s="113"/>
      <c r="AM931" s="113"/>
      <c r="AN931" s="118"/>
      <c r="AO931" s="118"/>
      <c r="AP931" s="118"/>
      <c r="AQ931" s="118"/>
    </row>
    <row r="932" spans="2:43" ht="15.75" customHeight="1">
      <c r="B932" s="113"/>
      <c r="E932" s="114"/>
      <c r="Q932" s="116"/>
      <c r="Z932" s="117"/>
      <c r="AA932" s="117"/>
      <c r="AB932" s="117"/>
      <c r="AC932" s="117"/>
      <c r="AK932" s="113"/>
      <c r="AL932" s="113"/>
      <c r="AM932" s="113"/>
      <c r="AN932" s="118"/>
      <c r="AO932" s="118"/>
      <c r="AP932" s="118"/>
      <c r="AQ932" s="118"/>
    </row>
    <row r="933" spans="2:43" ht="15.75" customHeight="1">
      <c r="B933" s="113"/>
      <c r="E933" s="114"/>
      <c r="Q933" s="116"/>
      <c r="Z933" s="117"/>
      <c r="AA933" s="117"/>
      <c r="AB933" s="117"/>
      <c r="AC933" s="117"/>
      <c r="AK933" s="113"/>
      <c r="AL933" s="113"/>
      <c r="AM933" s="113"/>
      <c r="AN933" s="118"/>
      <c r="AO933" s="118"/>
      <c r="AP933" s="118"/>
      <c r="AQ933" s="118"/>
    </row>
    <row r="934" spans="2:43" ht="15.75" customHeight="1">
      <c r="B934" s="113"/>
      <c r="E934" s="114"/>
      <c r="Q934" s="116"/>
      <c r="Z934" s="117"/>
      <c r="AA934" s="117"/>
      <c r="AB934" s="117"/>
      <c r="AC934" s="117"/>
      <c r="AK934" s="113"/>
      <c r="AL934" s="113"/>
      <c r="AM934" s="113"/>
      <c r="AN934" s="118"/>
      <c r="AO934" s="118"/>
      <c r="AP934" s="118"/>
      <c r="AQ934" s="118"/>
    </row>
    <row r="935" spans="2:43" ht="15.75" customHeight="1">
      <c r="B935" s="113"/>
      <c r="E935" s="114"/>
      <c r="Q935" s="116"/>
      <c r="Z935" s="117"/>
      <c r="AA935" s="117"/>
      <c r="AB935" s="117"/>
      <c r="AC935" s="117"/>
      <c r="AK935" s="113"/>
      <c r="AL935" s="113"/>
      <c r="AM935" s="113"/>
      <c r="AN935" s="118"/>
      <c r="AO935" s="118"/>
      <c r="AP935" s="118"/>
      <c r="AQ935" s="118"/>
    </row>
    <row r="936" spans="2:43" ht="15.75" customHeight="1">
      <c r="B936" s="113"/>
      <c r="E936" s="114"/>
      <c r="Q936" s="116"/>
      <c r="Z936" s="117"/>
      <c r="AA936" s="117"/>
      <c r="AB936" s="117"/>
      <c r="AC936" s="117"/>
      <c r="AK936" s="113"/>
      <c r="AL936" s="113"/>
      <c r="AM936" s="113"/>
      <c r="AN936" s="118"/>
      <c r="AO936" s="118"/>
      <c r="AP936" s="118"/>
      <c r="AQ936" s="118"/>
    </row>
    <row r="937" spans="2:43" ht="15.75" customHeight="1">
      <c r="B937" s="113"/>
      <c r="E937" s="114"/>
      <c r="Q937" s="116"/>
      <c r="Z937" s="117"/>
      <c r="AA937" s="117"/>
      <c r="AB937" s="117"/>
      <c r="AC937" s="117"/>
      <c r="AK937" s="113"/>
      <c r="AL937" s="113"/>
      <c r="AM937" s="113"/>
      <c r="AN937" s="118"/>
      <c r="AO937" s="118"/>
      <c r="AP937" s="118"/>
      <c r="AQ937" s="118"/>
    </row>
    <row r="938" spans="2:43" ht="15.75" customHeight="1">
      <c r="B938" s="113"/>
      <c r="E938" s="114"/>
      <c r="Q938" s="116"/>
      <c r="Z938" s="117"/>
      <c r="AA938" s="117"/>
      <c r="AB938" s="117"/>
      <c r="AC938" s="117"/>
      <c r="AK938" s="113"/>
      <c r="AL938" s="113"/>
      <c r="AM938" s="113"/>
      <c r="AN938" s="118"/>
      <c r="AO938" s="118"/>
      <c r="AP938" s="118"/>
      <c r="AQ938" s="118"/>
    </row>
    <row r="939" spans="2:43" ht="15.75" customHeight="1">
      <c r="B939" s="113"/>
      <c r="E939" s="114"/>
      <c r="Q939" s="116"/>
      <c r="Z939" s="117"/>
      <c r="AA939" s="117"/>
      <c r="AB939" s="117"/>
      <c r="AC939" s="117"/>
      <c r="AK939" s="113"/>
      <c r="AL939" s="113"/>
      <c r="AM939" s="113"/>
      <c r="AN939" s="118"/>
      <c r="AO939" s="118"/>
      <c r="AP939" s="118"/>
      <c r="AQ939" s="118"/>
    </row>
    <row r="940" spans="2:43" ht="15.75" customHeight="1">
      <c r="B940" s="113"/>
      <c r="E940" s="114"/>
      <c r="Q940" s="116"/>
      <c r="Z940" s="117"/>
      <c r="AA940" s="117"/>
      <c r="AB940" s="117"/>
      <c r="AC940" s="117"/>
      <c r="AK940" s="113"/>
      <c r="AL940" s="113"/>
      <c r="AM940" s="113"/>
      <c r="AN940" s="118"/>
      <c r="AO940" s="118"/>
      <c r="AP940" s="118"/>
      <c r="AQ940" s="118"/>
    </row>
    <row r="941" spans="2:43">
      <c r="B941" s="113"/>
      <c r="E941" s="114"/>
      <c r="Q941" s="116"/>
      <c r="Z941" s="117"/>
      <c r="AA941" s="117"/>
      <c r="AB941" s="117"/>
      <c r="AC941" s="117"/>
      <c r="AK941" s="113"/>
      <c r="AL941" s="113"/>
      <c r="AM941" s="113"/>
      <c r="AN941" s="118"/>
      <c r="AO941" s="118"/>
      <c r="AP941" s="118"/>
      <c r="AQ941" s="118"/>
    </row>
    <row r="942" spans="2:43">
      <c r="B942" s="113"/>
      <c r="E942" s="114"/>
      <c r="Q942" s="116"/>
      <c r="Z942" s="117"/>
      <c r="AA942" s="117"/>
      <c r="AB942" s="117"/>
      <c r="AC942" s="117"/>
      <c r="AK942" s="113"/>
      <c r="AL942" s="113"/>
      <c r="AM942" s="113"/>
      <c r="AN942" s="118"/>
      <c r="AO942" s="118"/>
      <c r="AP942" s="118"/>
      <c r="AQ942" s="118"/>
    </row>
    <row r="943" spans="2:43">
      <c r="B943" s="113"/>
      <c r="E943" s="114"/>
      <c r="Q943" s="116"/>
      <c r="Z943" s="117"/>
      <c r="AA943" s="117"/>
      <c r="AB943" s="117"/>
      <c r="AC943" s="117"/>
      <c r="AK943" s="113"/>
      <c r="AL943" s="113"/>
      <c r="AM943" s="113"/>
      <c r="AN943" s="118"/>
      <c r="AO943" s="118"/>
      <c r="AP943" s="118"/>
      <c r="AQ943" s="118"/>
    </row>
    <row r="944" spans="2:43">
      <c r="B944" s="113"/>
      <c r="E944" s="114"/>
      <c r="Q944" s="116"/>
      <c r="Z944" s="117"/>
      <c r="AA944" s="117"/>
      <c r="AB944" s="117"/>
      <c r="AC944" s="117"/>
      <c r="AK944" s="113"/>
      <c r="AL944" s="113"/>
      <c r="AM944" s="113"/>
      <c r="AN944" s="118"/>
      <c r="AO944" s="118"/>
      <c r="AP944" s="118"/>
      <c r="AQ944" s="118"/>
    </row>
    <row r="945" spans="2:43">
      <c r="B945" s="113"/>
      <c r="E945" s="114"/>
      <c r="Q945" s="116"/>
      <c r="Z945" s="117"/>
      <c r="AA945" s="117"/>
      <c r="AB945" s="117"/>
      <c r="AC945" s="117"/>
      <c r="AK945" s="113"/>
      <c r="AL945" s="113"/>
      <c r="AM945" s="113"/>
      <c r="AN945" s="118"/>
      <c r="AO945" s="118"/>
      <c r="AP945" s="118"/>
      <c r="AQ945" s="118"/>
    </row>
    <row r="946" spans="2:43">
      <c r="B946" s="113"/>
      <c r="E946" s="114"/>
      <c r="Q946" s="116"/>
      <c r="Z946" s="117"/>
      <c r="AA946" s="117"/>
      <c r="AB946" s="117"/>
      <c r="AC946" s="117"/>
      <c r="AK946" s="113"/>
      <c r="AL946" s="113"/>
      <c r="AM946" s="113"/>
      <c r="AN946" s="118"/>
      <c r="AO946" s="118"/>
      <c r="AP946" s="118"/>
      <c r="AQ946" s="118"/>
    </row>
    <row r="947" spans="2:43">
      <c r="B947" s="113"/>
      <c r="E947" s="114"/>
      <c r="Q947" s="116"/>
      <c r="Z947" s="117"/>
      <c r="AA947" s="117"/>
      <c r="AB947" s="117"/>
      <c r="AC947" s="117"/>
      <c r="AK947" s="113"/>
      <c r="AL947" s="113"/>
      <c r="AM947" s="113"/>
      <c r="AN947" s="118"/>
      <c r="AO947" s="118"/>
      <c r="AP947" s="118"/>
      <c r="AQ947" s="118"/>
    </row>
    <row r="948" spans="2:43">
      <c r="B948" s="113"/>
      <c r="E948" s="114"/>
      <c r="Q948" s="116"/>
      <c r="Z948" s="117"/>
      <c r="AA948" s="117"/>
      <c r="AB948" s="117"/>
      <c r="AC948" s="117"/>
      <c r="AK948" s="113"/>
      <c r="AL948" s="113"/>
      <c r="AM948" s="113"/>
      <c r="AN948" s="118"/>
      <c r="AO948" s="118"/>
      <c r="AP948" s="118"/>
      <c r="AQ948" s="118"/>
    </row>
    <row r="949" spans="2:43">
      <c r="B949" s="113"/>
      <c r="E949" s="114"/>
      <c r="Q949" s="116"/>
      <c r="Z949" s="117"/>
      <c r="AA949" s="117"/>
      <c r="AB949" s="117"/>
      <c r="AC949" s="117"/>
      <c r="AK949" s="113"/>
      <c r="AL949" s="113"/>
      <c r="AM949" s="113"/>
      <c r="AN949" s="118"/>
      <c r="AO949" s="118"/>
      <c r="AP949" s="118"/>
      <c r="AQ949" s="118"/>
    </row>
    <row r="950" spans="2:43">
      <c r="B950" s="113"/>
      <c r="E950" s="114"/>
      <c r="Q950" s="116"/>
      <c r="Z950" s="117"/>
      <c r="AA950" s="117"/>
      <c r="AB950" s="117"/>
      <c r="AC950" s="117"/>
      <c r="AK950" s="113"/>
      <c r="AL950" s="113"/>
      <c r="AM950" s="113"/>
      <c r="AN950" s="118"/>
      <c r="AO950" s="118"/>
      <c r="AP950" s="118"/>
      <c r="AQ950" s="118"/>
    </row>
    <row r="951" spans="2:43">
      <c r="B951" s="113"/>
      <c r="E951" s="114"/>
      <c r="Q951" s="116"/>
      <c r="Z951" s="117"/>
      <c r="AA951" s="117"/>
      <c r="AB951" s="117"/>
      <c r="AC951" s="117"/>
      <c r="AK951" s="113"/>
      <c r="AL951" s="113"/>
      <c r="AM951" s="113"/>
      <c r="AN951" s="118"/>
      <c r="AO951" s="118"/>
      <c r="AP951" s="118"/>
      <c r="AQ951" s="118"/>
    </row>
    <row r="952" spans="2:43">
      <c r="B952" s="113"/>
      <c r="E952" s="114"/>
      <c r="Q952" s="116"/>
      <c r="Z952" s="117"/>
      <c r="AA952" s="117"/>
      <c r="AB952" s="117"/>
      <c r="AC952" s="117"/>
      <c r="AK952" s="113"/>
      <c r="AL952" s="113"/>
      <c r="AM952" s="113"/>
      <c r="AN952" s="118"/>
      <c r="AO952" s="118"/>
      <c r="AP952" s="118"/>
      <c r="AQ952" s="118"/>
    </row>
    <row r="953" spans="2:43">
      <c r="B953" s="113"/>
      <c r="E953" s="114"/>
      <c r="Q953" s="116"/>
      <c r="Z953" s="117"/>
      <c r="AA953" s="117"/>
      <c r="AB953" s="117"/>
      <c r="AC953" s="117"/>
      <c r="AK953" s="113"/>
      <c r="AL953" s="113"/>
      <c r="AM953" s="113"/>
      <c r="AN953" s="118"/>
      <c r="AO953" s="118"/>
      <c r="AP953" s="118"/>
      <c r="AQ953" s="118"/>
    </row>
    <row r="954" spans="2:43">
      <c r="B954" s="113"/>
      <c r="E954" s="114"/>
      <c r="Q954" s="116"/>
      <c r="Z954" s="117"/>
      <c r="AA954" s="117"/>
      <c r="AB954" s="117"/>
      <c r="AC954" s="117"/>
      <c r="AK954" s="113"/>
      <c r="AL954" s="113"/>
      <c r="AM954" s="113"/>
      <c r="AN954" s="118"/>
      <c r="AO954" s="118"/>
      <c r="AP954" s="118"/>
      <c r="AQ954" s="118"/>
    </row>
    <row r="955" spans="2:43">
      <c r="B955" s="113"/>
      <c r="E955" s="114"/>
      <c r="Q955" s="116"/>
      <c r="Z955" s="117"/>
      <c r="AA955" s="117"/>
      <c r="AB955" s="117"/>
      <c r="AC955" s="117"/>
      <c r="AK955" s="113"/>
      <c r="AL955" s="113"/>
      <c r="AM955" s="113"/>
      <c r="AN955" s="118"/>
      <c r="AO955" s="118"/>
      <c r="AP955" s="118"/>
      <c r="AQ955" s="118"/>
    </row>
    <row r="956" spans="2:43">
      <c r="B956" s="113"/>
      <c r="E956" s="114"/>
      <c r="Q956" s="116"/>
      <c r="Z956" s="117"/>
      <c r="AA956" s="117"/>
      <c r="AB956" s="117"/>
      <c r="AC956" s="117"/>
      <c r="AK956" s="113"/>
      <c r="AL956" s="113"/>
      <c r="AM956" s="113"/>
      <c r="AN956" s="118"/>
      <c r="AO956" s="118"/>
      <c r="AP956" s="118"/>
      <c r="AQ956" s="118"/>
    </row>
    <row r="957" spans="2:43">
      <c r="B957" s="113"/>
      <c r="E957" s="114"/>
      <c r="Q957" s="116"/>
      <c r="Z957" s="117"/>
      <c r="AA957" s="117"/>
      <c r="AB957" s="117"/>
      <c r="AC957" s="117"/>
      <c r="AK957" s="113"/>
      <c r="AL957" s="113"/>
      <c r="AM957" s="113"/>
      <c r="AN957" s="118"/>
      <c r="AO957" s="118"/>
      <c r="AP957" s="118"/>
      <c r="AQ957" s="118"/>
    </row>
    <row r="958" spans="2:43">
      <c r="B958" s="113"/>
      <c r="E958" s="114"/>
      <c r="Q958" s="116"/>
      <c r="Z958" s="117"/>
      <c r="AA958" s="117"/>
      <c r="AB958" s="117"/>
      <c r="AC958" s="117"/>
      <c r="AK958" s="113"/>
      <c r="AL958" s="113"/>
      <c r="AM958" s="113"/>
      <c r="AN958" s="118"/>
      <c r="AO958" s="118"/>
      <c r="AP958" s="118"/>
      <c r="AQ958" s="118"/>
    </row>
    <row r="959" spans="2:43">
      <c r="B959" s="113"/>
      <c r="E959" s="114"/>
      <c r="Q959" s="116"/>
      <c r="Z959" s="117"/>
      <c r="AA959" s="117"/>
      <c r="AB959" s="117"/>
      <c r="AC959" s="117"/>
      <c r="AK959" s="113"/>
      <c r="AL959" s="113"/>
      <c r="AM959" s="113"/>
      <c r="AN959" s="118"/>
      <c r="AO959" s="118"/>
      <c r="AP959" s="118"/>
      <c r="AQ959" s="118"/>
    </row>
    <row r="960" spans="2:43">
      <c r="B960" s="113"/>
      <c r="E960" s="114"/>
      <c r="Q960" s="116"/>
      <c r="Z960" s="117"/>
      <c r="AA960" s="117"/>
      <c r="AB960" s="117"/>
      <c r="AC960" s="117"/>
      <c r="AK960" s="113"/>
      <c r="AL960" s="113"/>
      <c r="AM960" s="113"/>
      <c r="AN960" s="118"/>
      <c r="AO960" s="118"/>
      <c r="AP960" s="118"/>
      <c r="AQ960" s="118"/>
    </row>
    <row r="961" spans="2:43">
      <c r="B961" s="113"/>
      <c r="E961" s="114"/>
      <c r="Q961" s="116"/>
      <c r="Z961" s="117"/>
      <c r="AA961" s="117"/>
      <c r="AB961" s="117"/>
      <c r="AC961" s="117"/>
      <c r="AK961" s="113"/>
      <c r="AL961" s="113"/>
      <c r="AM961" s="113"/>
      <c r="AN961" s="118"/>
      <c r="AO961" s="118"/>
      <c r="AP961" s="118"/>
      <c r="AQ961" s="118"/>
    </row>
    <row r="962" spans="2:43">
      <c r="B962" s="113"/>
      <c r="E962" s="114"/>
      <c r="Q962" s="116"/>
      <c r="Z962" s="117"/>
      <c r="AA962" s="117"/>
      <c r="AB962" s="117"/>
      <c r="AC962" s="117"/>
      <c r="AK962" s="113"/>
      <c r="AL962" s="113"/>
      <c r="AM962" s="113"/>
      <c r="AN962" s="118"/>
      <c r="AO962" s="118"/>
      <c r="AP962" s="118"/>
      <c r="AQ962" s="118"/>
    </row>
    <row r="963" spans="2:43">
      <c r="B963" s="113"/>
      <c r="E963" s="114"/>
      <c r="Q963" s="116"/>
      <c r="Z963" s="117"/>
      <c r="AA963" s="117"/>
      <c r="AB963" s="117"/>
      <c r="AC963" s="117"/>
      <c r="AK963" s="113"/>
      <c r="AL963" s="113"/>
      <c r="AM963" s="113"/>
      <c r="AN963" s="118"/>
      <c r="AO963" s="118"/>
      <c r="AP963" s="118"/>
      <c r="AQ963" s="118"/>
    </row>
    <row r="964" spans="2:43">
      <c r="B964" s="113"/>
      <c r="E964" s="114"/>
      <c r="Q964" s="116"/>
      <c r="Z964" s="117"/>
      <c r="AA964" s="117"/>
      <c r="AB964" s="117"/>
      <c r="AC964" s="117"/>
      <c r="AK964" s="113"/>
      <c r="AL964" s="113"/>
      <c r="AM964" s="113"/>
      <c r="AN964" s="118"/>
      <c r="AO964" s="118"/>
      <c r="AP964" s="118"/>
      <c r="AQ964" s="118"/>
    </row>
    <row r="965" spans="2:43">
      <c r="B965" s="113"/>
      <c r="E965" s="114"/>
      <c r="Q965" s="116"/>
      <c r="Z965" s="117"/>
      <c r="AA965" s="117"/>
      <c r="AB965" s="117"/>
      <c r="AC965" s="117"/>
      <c r="AK965" s="113"/>
      <c r="AL965" s="113"/>
      <c r="AM965" s="113"/>
      <c r="AN965" s="118"/>
      <c r="AO965" s="118"/>
      <c r="AP965" s="118"/>
      <c r="AQ965" s="118"/>
    </row>
    <row r="966" spans="2:43">
      <c r="B966" s="113"/>
      <c r="E966" s="114"/>
      <c r="Q966" s="116"/>
      <c r="Z966" s="117"/>
      <c r="AA966" s="117"/>
      <c r="AB966" s="117"/>
      <c r="AC966" s="117"/>
      <c r="AK966" s="113"/>
      <c r="AL966" s="113"/>
      <c r="AM966" s="113"/>
      <c r="AN966" s="118"/>
      <c r="AO966" s="118"/>
      <c r="AP966" s="118"/>
      <c r="AQ966" s="118"/>
    </row>
    <row r="967" spans="2:43">
      <c r="B967" s="113"/>
      <c r="E967" s="114"/>
      <c r="Q967" s="116"/>
      <c r="Z967" s="117"/>
      <c r="AA967" s="117"/>
      <c r="AB967" s="117"/>
      <c r="AC967" s="117"/>
      <c r="AK967" s="113"/>
      <c r="AL967" s="113"/>
      <c r="AM967" s="113"/>
      <c r="AN967" s="118"/>
      <c r="AO967" s="118"/>
      <c r="AP967" s="118"/>
      <c r="AQ967" s="118"/>
    </row>
    <row r="968" spans="2:43">
      <c r="B968" s="113"/>
      <c r="E968" s="114"/>
      <c r="Q968" s="116"/>
      <c r="Z968" s="117"/>
      <c r="AA968" s="117"/>
      <c r="AB968" s="117"/>
      <c r="AC968" s="117"/>
      <c r="AK968" s="113"/>
      <c r="AL968" s="113"/>
      <c r="AM968" s="113"/>
      <c r="AN968" s="118"/>
      <c r="AO968" s="118"/>
      <c r="AP968" s="118"/>
      <c r="AQ968" s="118"/>
    </row>
    <row r="969" spans="2:43">
      <c r="B969" s="113"/>
      <c r="E969" s="114"/>
      <c r="Z969" s="113"/>
      <c r="AB969" s="113"/>
      <c r="AC969" s="113"/>
      <c r="AK969" s="113"/>
      <c r="AL969" s="113"/>
      <c r="AM969" s="113"/>
      <c r="AN969" s="118"/>
      <c r="AO969" s="118"/>
      <c r="AP969" s="118"/>
      <c r="AQ969" s="118"/>
    </row>
    <row r="970" spans="2:43">
      <c r="B970" s="113"/>
      <c r="E970" s="114"/>
      <c r="Z970" s="113"/>
      <c r="AB970" s="113"/>
      <c r="AC970" s="113"/>
      <c r="AK970" s="113"/>
      <c r="AL970" s="113"/>
      <c r="AM970" s="113"/>
      <c r="AN970" s="118"/>
      <c r="AO970" s="118"/>
      <c r="AP970" s="118"/>
      <c r="AQ970" s="118"/>
    </row>
    <row r="971" spans="2:43">
      <c r="B971" s="113"/>
      <c r="E971" s="114"/>
      <c r="Z971" s="113"/>
      <c r="AB971" s="113"/>
      <c r="AC971" s="113"/>
      <c r="AK971" s="113"/>
      <c r="AL971" s="113"/>
      <c r="AM971" s="113"/>
      <c r="AN971" s="118"/>
      <c r="AO971" s="118"/>
      <c r="AP971" s="118"/>
      <c r="AQ971" s="118"/>
    </row>
    <row r="972" spans="2:43">
      <c r="B972" s="113"/>
      <c r="E972" s="114"/>
      <c r="Z972" s="113"/>
      <c r="AB972" s="113"/>
      <c r="AC972" s="113"/>
      <c r="AK972" s="113"/>
      <c r="AL972" s="113"/>
      <c r="AM972" s="113"/>
      <c r="AN972" s="118"/>
      <c r="AO972" s="118"/>
      <c r="AP972" s="118"/>
      <c r="AQ972" s="118"/>
    </row>
    <row r="973" spans="2:43">
      <c r="B973" s="113"/>
      <c r="E973" s="114"/>
      <c r="Z973" s="113"/>
      <c r="AB973" s="113"/>
      <c r="AC973" s="113"/>
      <c r="AK973" s="113"/>
      <c r="AL973" s="113"/>
      <c r="AM973" s="113"/>
      <c r="AN973" s="118"/>
      <c r="AO973" s="118"/>
      <c r="AP973" s="118"/>
      <c r="AQ973" s="118"/>
    </row>
    <row r="974" spans="2:43">
      <c r="B974" s="113"/>
      <c r="E974" s="114"/>
      <c r="Z974" s="113"/>
      <c r="AB974" s="113"/>
      <c r="AC974" s="113"/>
      <c r="AK974" s="113"/>
      <c r="AL974" s="113"/>
      <c r="AM974" s="113"/>
      <c r="AN974" s="118"/>
      <c r="AO974" s="118"/>
      <c r="AP974" s="118"/>
      <c r="AQ974" s="118"/>
    </row>
    <row r="975" spans="2:43">
      <c r="B975" s="113"/>
      <c r="E975" s="114"/>
      <c r="Z975" s="113"/>
      <c r="AB975" s="113"/>
      <c r="AC975" s="113"/>
      <c r="AK975" s="113"/>
      <c r="AL975" s="113"/>
      <c r="AM975" s="113"/>
      <c r="AN975" s="118"/>
      <c r="AO975" s="118"/>
      <c r="AP975" s="118"/>
      <c r="AQ975" s="118"/>
    </row>
    <row r="976" spans="2:43">
      <c r="B976" s="113"/>
      <c r="E976" s="114"/>
      <c r="Z976" s="113"/>
      <c r="AB976" s="113"/>
      <c r="AC976" s="113"/>
      <c r="AK976" s="113"/>
      <c r="AL976" s="113"/>
      <c r="AM976" s="113"/>
      <c r="AN976" s="118"/>
      <c r="AO976" s="118"/>
      <c r="AP976" s="118"/>
      <c r="AQ976" s="118"/>
    </row>
    <row r="977" spans="2:43">
      <c r="B977" s="113"/>
      <c r="E977" s="114"/>
      <c r="Z977" s="113"/>
      <c r="AB977" s="113"/>
      <c r="AC977" s="113"/>
      <c r="AK977" s="113"/>
      <c r="AL977" s="113"/>
      <c r="AM977" s="113"/>
      <c r="AN977" s="118"/>
      <c r="AO977" s="118"/>
      <c r="AP977" s="118"/>
      <c r="AQ977" s="118"/>
    </row>
    <row r="978" spans="2:43">
      <c r="B978" s="113"/>
      <c r="E978" s="114"/>
      <c r="Z978" s="113"/>
      <c r="AB978" s="113"/>
      <c r="AC978" s="113"/>
      <c r="AK978" s="113"/>
      <c r="AL978" s="113"/>
      <c r="AM978" s="113"/>
      <c r="AN978" s="118"/>
      <c r="AO978" s="118"/>
      <c r="AP978" s="118"/>
      <c r="AQ978" s="118"/>
    </row>
    <row r="979" spans="2:43">
      <c r="B979" s="113"/>
      <c r="E979" s="114"/>
      <c r="Z979" s="113"/>
      <c r="AB979" s="113"/>
      <c r="AC979" s="113"/>
      <c r="AK979" s="113"/>
      <c r="AL979" s="113"/>
      <c r="AM979" s="113"/>
      <c r="AN979" s="118"/>
      <c r="AO979" s="118"/>
      <c r="AP979" s="118"/>
      <c r="AQ979" s="118"/>
    </row>
    <row r="980" spans="2:43">
      <c r="B980" s="113"/>
      <c r="E980" s="114"/>
      <c r="Z980" s="113"/>
      <c r="AB980" s="113"/>
      <c r="AC980" s="113"/>
      <c r="AK980" s="113"/>
      <c r="AL980" s="113"/>
      <c r="AM980" s="113"/>
      <c r="AN980" s="118"/>
      <c r="AO980" s="118"/>
      <c r="AP980" s="118"/>
      <c r="AQ980" s="118"/>
    </row>
    <row r="981" spans="2:43">
      <c r="B981" s="113"/>
      <c r="E981" s="114"/>
      <c r="Z981" s="113"/>
      <c r="AB981" s="113"/>
      <c r="AC981" s="113"/>
      <c r="AK981" s="113"/>
      <c r="AL981" s="113"/>
      <c r="AM981" s="113"/>
      <c r="AN981" s="118"/>
      <c r="AO981" s="118"/>
      <c r="AP981" s="118"/>
      <c r="AQ981" s="118"/>
    </row>
    <row r="982" spans="2:43">
      <c r="B982" s="113"/>
      <c r="E982" s="114"/>
      <c r="Z982" s="113"/>
      <c r="AB982" s="113"/>
      <c r="AC982" s="113"/>
      <c r="AK982" s="113"/>
      <c r="AL982" s="113"/>
      <c r="AM982" s="113"/>
      <c r="AN982" s="118"/>
      <c r="AO982" s="118"/>
      <c r="AP982" s="118"/>
      <c r="AQ982" s="118"/>
    </row>
    <row r="983" spans="2:43">
      <c r="B983" s="113"/>
      <c r="E983" s="114"/>
      <c r="Z983" s="113"/>
      <c r="AB983" s="113"/>
      <c r="AC983" s="113"/>
      <c r="AK983" s="113"/>
      <c r="AL983" s="113"/>
      <c r="AM983" s="113"/>
      <c r="AN983" s="118"/>
      <c r="AO983" s="118"/>
      <c r="AP983" s="118"/>
      <c r="AQ983" s="118"/>
    </row>
    <row r="984" spans="2:43">
      <c r="B984" s="113"/>
      <c r="E984" s="114"/>
      <c r="Z984" s="113"/>
      <c r="AB984" s="113"/>
      <c r="AC984" s="113"/>
      <c r="AK984" s="113"/>
      <c r="AL984" s="113"/>
      <c r="AM984" s="113"/>
      <c r="AN984" s="118"/>
      <c r="AO984" s="118"/>
      <c r="AP984" s="118"/>
      <c r="AQ984" s="118"/>
    </row>
    <row r="985" spans="2:43">
      <c r="B985" s="113"/>
      <c r="E985" s="114"/>
      <c r="Z985" s="113"/>
      <c r="AB985" s="113"/>
      <c r="AC985" s="113"/>
      <c r="AK985" s="113"/>
      <c r="AL985" s="113"/>
      <c r="AM985" s="113"/>
      <c r="AN985" s="118"/>
      <c r="AO985" s="118"/>
      <c r="AP985" s="118"/>
      <c r="AQ985" s="118"/>
    </row>
    <row r="986" spans="2:43">
      <c r="B986" s="113"/>
      <c r="E986" s="114"/>
      <c r="Z986" s="113"/>
      <c r="AB986" s="113"/>
      <c r="AC986" s="113"/>
      <c r="AK986" s="113"/>
      <c r="AL986" s="113"/>
      <c r="AM986" s="113"/>
      <c r="AN986" s="118"/>
      <c r="AO986" s="118"/>
      <c r="AP986" s="118"/>
      <c r="AQ986" s="118"/>
    </row>
    <row r="987" spans="2:43">
      <c r="B987" s="113"/>
      <c r="E987" s="114"/>
      <c r="Z987" s="113"/>
      <c r="AB987" s="113"/>
      <c r="AC987" s="113"/>
      <c r="AK987" s="113"/>
      <c r="AL987" s="113"/>
      <c r="AM987" s="113"/>
      <c r="AN987" s="118"/>
      <c r="AO987" s="118"/>
      <c r="AP987" s="118"/>
      <c r="AQ987" s="118"/>
    </row>
    <row r="988" spans="2:43">
      <c r="B988" s="113"/>
      <c r="E988" s="114"/>
      <c r="Z988" s="113"/>
      <c r="AB988" s="113"/>
      <c r="AC988" s="113"/>
      <c r="AK988" s="113"/>
      <c r="AL988" s="113"/>
      <c r="AM988" s="113"/>
      <c r="AN988" s="118"/>
      <c r="AO988" s="118"/>
      <c r="AP988" s="118"/>
      <c r="AQ988" s="118"/>
    </row>
    <row r="989" spans="2:43">
      <c r="B989" s="113"/>
      <c r="E989" s="114"/>
      <c r="Z989" s="113"/>
      <c r="AB989" s="113"/>
      <c r="AC989" s="113"/>
      <c r="AK989" s="113"/>
      <c r="AL989" s="113"/>
      <c r="AM989" s="113"/>
      <c r="AN989" s="118"/>
      <c r="AO989" s="118"/>
      <c r="AP989" s="118"/>
      <c r="AQ989" s="118"/>
    </row>
    <row r="990" spans="2:43">
      <c r="B990" s="113"/>
      <c r="E990" s="114"/>
      <c r="Z990" s="113"/>
      <c r="AB990" s="113"/>
      <c r="AC990" s="113"/>
      <c r="AK990" s="113"/>
      <c r="AL990" s="113"/>
      <c r="AM990" s="113"/>
      <c r="AN990" s="118"/>
      <c r="AO990" s="118"/>
      <c r="AP990" s="118"/>
      <c r="AQ990" s="118"/>
    </row>
    <row r="991" spans="2:43">
      <c r="B991" s="113"/>
      <c r="E991" s="114"/>
      <c r="Z991" s="113"/>
      <c r="AB991" s="113"/>
      <c r="AC991" s="113"/>
      <c r="AK991" s="113"/>
      <c r="AL991" s="113"/>
      <c r="AM991" s="113"/>
      <c r="AN991" s="118"/>
      <c r="AO991" s="118"/>
      <c r="AP991" s="118"/>
      <c r="AQ991" s="118"/>
    </row>
    <row r="992" spans="2:43">
      <c r="B992" s="113"/>
      <c r="E992" s="114"/>
      <c r="Z992" s="113"/>
      <c r="AB992" s="113"/>
      <c r="AC992" s="113"/>
      <c r="AK992" s="113"/>
      <c r="AL992" s="113"/>
      <c r="AM992" s="113"/>
      <c r="AN992" s="118"/>
      <c r="AO992" s="118"/>
      <c r="AP992" s="118"/>
      <c r="AQ992" s="118"/>
    </row>
    <row r="993" spans="2:43">
      <c r="B993" s="113"/>
      <c r="E993" s="114"/>
      <c r="Z993" s="113"/>
      <c r="AB993" s="113"/>
      <c r="AC993" s="113"/>
      <c r="AK993" s="113"/>
      <c r="AL993" s="113"/>
      <c r="AM993" s="113"/>
      <c r="AN993" s="118"/>
      <c r="AO993" s="118"/>
      <c r="AP993" s="118"/>
      <c r="AQ993" s="118"/>
    </row>
    <row r="994" spans="2:43">
      <c r="B994" s="113"/>
      <c r="E994" s="114"/>
      <c r="Z994" s="113"/>
      <c r="AB994" s="113"/>
      <c r="AC994" s="113"/>
      <c r="AK994" s="113"/>
      <c r="AL994" s="113"/>
      <c r="AM994" s="113"/>
      <c r="AN994" s="118"/>
      <c r="AO994" s="118"/>
      <c r="AP994" s="118"/>
      <c r="AQ994" s="118"/>
    </row>
    <row r="995" spans="2:43">
      <c r="B995" s="113"/>
      <c r="E995" s="114"/>
      <c r="Z995" s="113"/>
      <c r="AB995" s="113"/>
      <c r="AC995" s="113"/>
      <c r="AK995" s="113"/>
      <c r="AL995" s="113"/>
      <c r="AM995" s="113"/>
      <c r="AN995" s="118"/>
      <c r="AO995" s="118"/>
      <c r="AP995" s="118"/>
      <c r="AQ995" s="118"/>
    </row>
    <row r="996" spans="2:43">
      <c r="B996" s="113"/>
      <c r="E996" s="114"/>
      <c r="Z996" s="113"/>
      <c r="AB996" s="113"/>
      <c r="AC996" s="113"/>
      <c r="AK996" s="113"/>
      <c r="AL996" s="113"/>
      <c r="AM996" s="113"/>
      <c r="AN996" s="118"/>
      <c r="AO996" s="118"/>
      <c r="AP996" s="118"/>
      <c r="AQ996" s="118"/>
    </row>
    <row r="997" spans="2:43">
      <c r="B997" s="113"/>
      <c r="E997" s="114"/>
      <c r="Z997" s="113"/>
      <c r="AB997" s="113"/>
      <c r="AC997" s="113"/>
      <c r="AK997" s="113"/>
      <c r="AL997" s="113"/>
      <c r="AM997" s="113"/>
      <c r="AN997" s="118"/>
      <c r="AO997" s="118"/>
      <c r="AP997" s="118"/>
      <c r="AQ997" s="118"/>
    </row>
    <row r="998" spans="2:43">
      <c r="B998" s="113"/>
      <c r="E998" s="114"/>
      <c r="Z998" s="113"/>
      <c r="AB998" s="113"/>
      <c r="AC998" s="113"/>
      <c r="AK998" s="113"/>
      <c r="AL998" s="113"/>
      <c r="AM998" s="113"/>
      <c r="AN998" s="118"/>
      <c r="AO998" s="118"/>
      <c r="AP998" s="118"/>
      <c r="AQ998" s="118"/>
    </row>
    <row r="999" spans="2:43">
      <c r="B999" s="113"/>
      <c r="E999" s="114"/>
      <c r="Z999" s="113"/>
      <c r="AB999" s="113"/>
      <c r="AC999" s="113"/>
      <c r="AK999" s="113"/>
      <c r="AL999" s="113"/>
      <c r="AM999" s="113"/>
      <c r="AN999" s="118"/>
      <c r="AO999" s="118"/>
      <c r="AP999" s="118"/>
      <c r="AQ999" s="118"/>
    </row>
    <row r="1000" spans="2:43">
      <c r="B1000" s="113"/>
      <c r="E1000" s="114"/>
      <c r="Z1000" s="113"/>
      <c r="AB1000" s="113"/>
      <c r="AC1000" s="113"/>
      <c r="AK1000" s="113"/>
      <c r="AL1000" s="113"/>
      <c r="AM1000" s="113"/>
      <c r="AN1000" s="118"/>
      <c r="AO1000" s="118"/>
      <c r="AP1000" s="118"/>
      <c r="AQ1000" s="118"/>
    </row>
    <row r="1001" spans="2:43">
      <c r="B1001" s="113"/>
      <c r="E1001" s="114"/>
      <c r="Z1001" s="113"/>
      <c r="AB1001" s="113"/>
      <c r="AC1001" s="113"/>
      <c r="AK1001" s="113"/>
      <c r="AL1001" s="113"/>
      <c r="AM1001" s="113"/>
      <c r="AN1001" s="118"/>
      <c r="AO1001" s="118"/>
      <c r="AP1001" s="118"/>
      <c r="AQ1001" s="118"/>
    </row>
    <row r="1002" spans="2:43">
      <c r="B1002" s="113"/>
      <c r="E1002" s="114"/>
      <c r="Z1002" s="113"/>
      <c r="AB1002" s="113"/>
      <c r="AC1002" s="113"/>
      <c r="AK1002" s="113"/>
      <c r="AL1002" s="113"/>
      <c r="AM1002" s="113"/>
      <c r="AN1002" s="118"/>
      <c r="AO1002" s="118"/>
      <c r="AP1002" s="118"/>
      <c r="AQ1002" s="118"/>
    </row>
    <row r="1003" spans="2:43">
      <c r="B1003" s="113"/>
      <c r="E1003" s="114"/>
      <c r="Z1003" s="113"/>
      <c r="AB1003" s="113"/>
      <c r="AC1003" s="113"/>
      <c r="AK1003" s="113"/>
      <c r="AL1003" s="113"/>
      <c r="AM1003" s="113"/>
      <c r="AN1003" s="118"/>
      <c r="AO1003" s="118"/>
      <c r="AP1003" s="118"/>
      <c r="AQ1003" s="118"/>
    </row>
    <row r="1004" spans="2:43">
      <c r="B1004" s="113"/>
      <c r="E1004" s="114"/>
      <c r="Z1004" s="113"/>
      <c r="AB1004" s="113"/>
      <c r="AC1004" s="113"/>
      <c r="AK1004" s="113"/>
      <c r="AL1004" s="113"/>
      <c r="AM1004" s="113"/>
      <c r="AN1004" s="118"/>
      <c r="AO1004" s="118"/>
      <c r="AP1004" s="118"/>
      <c r="AQ1004" s="118"/>
    </row>
    <row r="1005" spans="2:43">
      <c r="B1005" s="113"/>
      <c r="E1005" s="114"/>
      <c r="Z1005" s="113"/>
      <c r="AB1005" s="113"/>
      <c r="AC1005" s="113"/>
      <c r="AK1005" s="113"/>
      <c r="AL1005" s="113"/>
      <c r="AM1005" s="113"/>
      <c r="AN1005" s="118"/>
      <c r="AO1005" s="118"/>
      <c r="AP1005" s="118"/>
      <c r="AQ1005" s="118"/>
    </row>
    <row r="1006" spans="2:43">
      <c r="B1006" s="113"/>
      <c r="E1006" s="114"/>
      <c r="Z1006" s="113"/>
      <c r="AB1006" s="113"/>
      <c r="AC1006" s="113"/>
      <c r="AK1006" s="113"/>
      <c r="AL1006" s="113"/>
      <c r="AM1006" s="113"/>
      <c r="AN1006" s="118"/>
      <c r="AO1006" s="118"/>
      <c r="AP1006" s="118"/>
      <c r="AQ1006" s="118"/>
    </row>
    <row r="1007" spans="2:43">
      <c r="B1007" s="113"/>
      <c r="E1007" s="114"/>
      <c r="Z1007" s="113"/>
      <c r="AB1007" s="113"/>
      <c r="AC1007" s="113"/>
      <c r="AK1007" s="113"/>
      <c r="AL1007" s="113"/>
      <c r="AM1007" s="113"/>
      <c r="AN1007" s="118"/>
      <c r="AO1007" s="118"/>
      <c r="AP1007" s="118"/>
      <c r="AQ1007" s="118"/>
    </row>
    <row r="1008" spans="2:43">
      <c r="B1008" s="113"/>
      <c r="E1008" s="114"/>
      <c r="Z1008" s="113"/>
      <c r="AB1008" s="113"/>
      <c r="AC1008" s="113"/>
      <c r="AK1008" s="113"/>
      <c r="AL1008" s="113"/>
      <c r="AM1008" s="113"/>
      <c r="AN1008" s="118"/>
      <c r="AO1008" s="118"/>
      <c r="AP1008" s="118"/>
      <c r="AQ1008" s="118"/>
    </row>
    <row r="1009" spans="2:43">
      <c r="B1009" s="113"/>
      <c r="E1009" s="114"/>
      <c r="Z1009" s="113"/>
      <c r="AB1009" s="113"/>
      <c r="AC1009" s="113"/>
      <c r="AK1009" s="113"/>
      <c r="AL1009" s="113"/>
      <c r="AM1009" s="113"/>
      <c r="AN1009" s="118"/>
      <c r="AO1009" s="118"/>
      <c r="AP1009" s="118"/>
      <c r="AQ1009" s="118"/>
    </row>
    <row r="1010" spans="2:43">
      <c r="B1010" s="113"/>
      <c r="E1010" s="114"/>
      <c r="Z1010" s="113"/>
      <c r="AB1010" s="113"/>
      <c r="AC1010" s="113"/>
      <c r="AK1010" s="113"/>
      <c r="AL1010" s="113"/>
      <c r="AM1010" s="113"/>
      <c r="AN1010" s="118"/>
      <c r="AO1010" s="118"/>
      <c r="AP1010" s="118"/>
      <c r="AQ1010" s="118"/>
    </row>
    <row r="1011" spans="2:43">
      <c r="B1011" s="113"/>
      <c r="E1011" s="114"/>
      <c r="Z1011" s="113"/>
      <c r="AB1011" s="113"/>
      <c r="AC1011" s="113"/>
      <c r="AK1011" s="113"/>
      <c r="AL1011" s="113"/>
      <c r="AM1011" s="113"/>
      <c r="AN1011" s="118"/>
      <c r="AO1011" s="118"/>
      <c r="AP1011" s="118"/>
      <c r="AQ1011" s="118"/>
    </row>
    <row r="1012" spans="2:43">
      <c r="B1012" s="113"/>
      <c r="E1012" s="114"/>
      <c r="Z1012" s="113"/>
      <c r="AB1012" s="113"/>
      <c r="AC1012" s="113"/>
      <c r="AK1012" s="113"/>
      <c r="AL1012" s="113"/>
      <c r="AM1012" s="113"/>
      <c r="AN1012" s="118"/>
      <c r="AO1012" s="118"/>
      <c r="AP1012" s="118"/>
      <c r="AQ1012" s="118"/>
    </row>
    <row r="1013" spans="2:43">
      <c r="B1013" s="113"/>
      <c r="E1013" s="114"/>
      <c r="Z1013" s="113"/>
      <c r="AB1013" s="113"/>
      <c r="AC1013" s="113"/>
      <c r="AK1013" s="113"/>
      <c r="AL1013" s="113"/>
      <c r="AM1013" s="113"/>
      <c r="AN1013" s="118"/>
      <c r="AO1013" s="118"/>
      <c r="AP1013" s="118"/>
      <c r="AQ1013" s="118"/>
    </row>
    <row r="1014" spans="2:43">
      <c r="B1014" s="113"/>
      <c r="E1014" s="114"/>
      <c r="Z1014" s="113"/>
      <c r="AB1014" s="113"/>
      <c r="AC1014" s="113"/>
      <c r="AK1014" s="113"/>
      <c r="AL1014" s="113"/>
      <c r="AM1014" s="113"/>
      <c r="AN1014" s="118"/>
      <c r="AO1014" s="118"/>
      <c r="AP1014" s="118"/>
      <c r="AQ1014" s="118"/>
    </row>
    <row r="1015" spans="2:43">
      <c r="B1015" s="113"/>
      <c r="E1015" s="114"/>
      <c r="Z1015" s="113"/>
      <c r="AB1015" s="113"/>
      <c r="AC1015" s="113"/>
      <c r="AK1015" s="113"/>
      <c r="AL1015" s="113"/>
      <c r="AM1015" s="113"/>
      <c r="AN1015" s="118"/>
      <c r="AO1015" s="118"/>
      <c r="AP1015" s="118"/>
      <c r="AQ1015" s="118"/>
    </row>
    <row r="1016" spans="2:43">
      <c r="B1016" s="113"/>
      <c r="E1016" s="114"/>
      <c r="Z1016" s="113"/>
      <c r="AB1016" s="113"/>
      <c r="AC1016" s="113"/>
      <c r="AK1016" s="113"/>
      <c r="AL1016" s="113"/>
      <c r="AM1016" s="113"/>
      <c r="AN1016" s="118"/>
      <c r="AO1016" s="118"/>
      <c r="AP1016" s="118"/>
      <c r="AQ1016" s="118"/>
    </row>
    <row r="1017" spans="2:43">
      <c r="B1017" s="113"/>
      <c r="E1017" s="114"/>
      <c r="Z1017" s="113"/>
      <c r="AB1017" s="113"/>
      <c r="AC1017" s="113"/>
      <c r="AK1017" s="113"/>
      <c r="AL1017" s="113"/>
      <c r="AM1017" s="113"/>
      <c r="AN1017" s="118"/>
      <c r="AO1017" s="118"/>
      <c r="AP1017" s="118"/>
      <c r="AQ1017" s="118"/>
    </row>
    <row r="1018" spans="2:43">
      <c r="B1018" s="113"/>
      <c r="E1018" s="114"/>
      <c r="Z1018" s="113"/>
      <c r="AB1018" s="113"/>
      <c r="AC1018" s="113"/>
      <c r="AK1018" s="113"/>
      <c r="AL1018" s="113"/>
      <c r="AM1018" s="113"/>
      <c r="AN1018" s="118"/>
      <c r="AO1018" s="118"/>
      <c r="AP1018" s="118"/>
      <c r="AQ1018" s="118"/>
    </row>
    <row r="1019" spans="2:43">
      <c r="B1019" s="113"/>
      <c r="E1019" s="114"/>
      <c r="Z1019" s="113"/>
      <c r="AB1019" s="113"/>
      <c r="AC1019" s="113"/>
      <c r="AK1019" s="113"/>
      <c r="AL1019" s="113"/>
      <c r="AM1019" s="113"/>
      <c r="AN1019" s="118"/>
      <c r="AO1019" s="118"/>
      <c r="AP1019" s="118"/>
      <c r="AQ1019" s="118"/>
    </row>
    <row r="1020" spans="2:43">
      <c r="B1020" s="113"/>
      <c r="E1020" s="114"/>
      <c r="Z1020" s="113"/>
      <c r="AB1020" s="113"/>
      <c r="AC1020" s="113"/>
      <c r="AK1020" s="113"/>
      <c r="AL1020" s="113"/>
      <c r="AM1020" s="113"/>
      <c r="AN1020" s="118"/>
      <c r="AO1020" s="118"/>
      <c r="AP1020" s="118"/>
      <c r="AQ1020" s="118"/>
    </row>
    <row r="1021" spans="2:43">
      <c r="B1021" s="113"/>
      <c r="E1021" s="114"/>
      <c r="Z1021" s="113"/>
      <c r="AB1021" s="113"/>
      <c r="AC1021" s="113"/>
      <c r="AK1021" s="113"/>
      <c r="AL1021" s="113"/>
      <c r="AM1021" s="113"/>
      <c r="AN1021" s="118"/>
      <c r="AO1021" s="118"/>
      <c r="AP1021" s="118"/>
      <c r="AQ1021" s="118"/>
    </row>
    <row r="1022" spans="2:43">
      <c r="B1022" s="113"/>
      <c r="E1022" s="114"/>
      <c r="Z1022" s="113"/>
      <c r="AB1022" s="113"/>
      <c r="AC1022" s="113"/>
      <c r="AK1022" s="113"/>
      <c r="AL1022" s="113"/>
      <c r="AM1022" s="113"/>
      <c r="AN1022" s="118"/>
      <c r="AO1022" s="118"/>
      <c r="AP1022" s="118"/>
      <c r="AQ1022" s="118"/>
    </row>
  </sheetData>
  <autoFilter ref="A2:AP242" xr:uid="{00000000-0009-0000-0000-000001000000}"/>
  <phoneticPr fontId="37" type="noConversion"/>
  <conditionalFormatting sqref="AO3">
    <cfRule type="expression" dxfId="0" priority="1">
      <formula>"&lt;0,0"</formula>
    </cfRule>
  </conditionalFormatting>
  <pageMargins left="0.25" right="0.25" top="0.75" bottom="0.75" header="0" footer="0"/>
  <pageSetup paperSize="9" scale="65" orientation="landscape" r:id="rId1"/>
  <ignoredErrors>
    <ignoredError sqref="I133:I134 K135 K212 T215" numberStoredAsText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100-000000000000}">
          <x14:formula1>
            <xm:f>DATA!$A$11:$A$40</xm:f>
          </x14:formula1>
          <xm:sqref>C18:C91</xm:sqref>
        </x14:dataValidation>
        <x14:dataValidation type="list" allowBlank="1" showErrorMessage="1" xr:uid="{4247EE67-A299-4593-80A0-520CA4340D0B}">
          <x14:formula1>
            <xm:f>DATA!$A$11:$A$64</xm:f>
          </x14:formula1>
          <xm:sqref>C92:C242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3280C-B1F2-4342-BBA5-BA28645B8C8D}">
  <sheetPr codeName="Sheet16">
    <tabColor theme="0" tint="-4.9989318521683403E-2"/>
  </sheetPr>
  <dimension ref="A1:AL1001"/>
  <sheetViews>
    <sheetView topLeftCell="A31" zoomScaleNormal="100" workbookViewId="0">
      <selection activeCell="E37" sqref="E37"/>
    </sheetView>
  </sheetViews>
  <sheetFormatPr defaultColWidth="14.42578125" defaultRowHeight="15" customHeight="1"/>
  <cols>
    <col min="1" max="1" width="12.28515625" customWidth="1"/>
    <col min="2" max="2" width="11.140625" customWidth="1"/>
    <col min="3" max="3" width="15.140625" bestFit="1" customWidth="1"/>
    <col min="4" max="4" width="17.7109375" bestFit="1" customWidth="1"/>
    <col min="5" max="6" width="13" customWidth="1"/>
    <col min="7" max="7" width="15" customWidth="1"/>
    <col min="8" max="8" width="12.42578125" customWidth="1"/>
    <col min="9" max="9" width="0.85546875" customWidth="1"/>
    <col min="10" max="10" width="13.28515625" customWidth="1"/>
    <col min="11" max="11" width="11.140625" customWidth="1"/>
    <col min="12" max="12" width="15.140625" bestFit="1" customWidth="1"/>
    <col min="13" max="13" width="17.7109375" bestFit="1" customWidth="1"/>
    <col min="14" max="15" width="13" customWidth="1"/>
    <col min="16" max="16" width="12.85546875" customWidth="1"/>
    <col min="17" max="17" width="13" customWidth="1"/>
    <col min="18" max="18" width="0.7109375" customWidth="1"/>
    <col min="19" max="19" width="12.42578125" customWidth="1"/>
    <col min="20" max="20" width="6.85546875" customWidth="1"/>
    <col min="21" max="21" width="11.140625" customWidth="1"/>
    <col min="22" max="22" width="19" customWidth="1"/>
    <col min="23" max="23" width="15.28515625" bestFit="1" customWidth="1"/>
    <col min="24" max="24" width="12" customWidth="1"/>
    <col min="25" max="25" width="12.7109375" bestFit="1" customWidth="1"/>
    <col min="26" max="26" width="14.28515625" bestFit="1" customWidth="1"/>
    <col min="27" max="27" width="2.28515625" customWidth="1"/>
    <col min="28" max="30" width="9" customWidth="1"/>
    <col min="31" max="31" width="11.7109375" customWidth="1"/>
    <col min="32" max="32" width="9" customWidth="1"/>
    <col min="33" max="33" width="7.7109375" customWidth="1"/>
    <col min="34" max="36" width="10.7109375" customWidth="1"/>
    <col min="37" max="37" width="11.7109375" customWidth="1"/>
    <col min="38" max="38" width="11.140625" customWidth="1"/>
  </cols>
  <sheetData>
    <row r="1" spans="1:38" ht="12.75" customHeight="1">
      <c r="A1" s="815" t="s">
        <v>1076</v>
      </c>
      <c r="B1" s="816"/>
      <c r="C1" s="816"/>
      <c r="D1" s="816"/>
      <c r="E1" s="816"/>
      <c r="F1" s="816"/>
      <c r="G1" s="816"/>
      <c r="H1" s="816"/>
      <c r="I1" s="119"/>
      <c r="J1" s="815" t="s">
        <v>1076</v>
      </c>
      <c r="K1" s="816"/>
      <c r="L1" s="816"/>
      <c r="M1" s="816"/>
      <c r="N1" s="816"/>
      <c r="O1" s="816"/>
      <c r="P1" s="816"/>
      <c r="Q1" s="816"/>
      <c r="R1" s="119"/>
      <c r="S1" s="815" t="s">
        <v>1076</v>
      </c>
      <c r="T1" s="816"/>
      <c r="U1" s="816"/>
      <c r="V1" s="816"/>
      <c r="W1" s="816"/>
      <c r="X1" s="816"/>
      <c r="Y1" s="816"/>
      <c r="Z1" s="816"/>
      <c r="AA1" s="119"/>
      <c r="AB1" s="198" t="s">
        <v>762</v>
      </c>
      <c r="AC1" s="199"/>
      <c r="AD1" s="199"/>
      <c r="AE1" s="199"/>
      <c r="AF1" s="199"/>
      <c r="AG1" s="200"/>
      <c r="AH1" s="199"/>
      <c r="AI1" s="199"/>
      <c r="AJ1" s="199"/>
      <c r="AK1" s="199"/>
      <c r="AL1" s="201"/>
    </row>
    <row r="2" spans="1:38" ht="12.75" customHeight="1">
      <c r="A2" s="817" t="s">
        <v>1077</v>
      </c>
      <c r="B2" s="816"/>
      <c r="C2" s="816"/>
      <c r="D2" s="816"/>
      <c r="E2" s="816"/>
      <c r="F2" s="816"/>
      <c r="G2" s="816"/>
      <c r="H2" s="816"/>
      <c r="I2" s="70"/>
      <c r="J2" s="817" t="s">
        <v>1077</v>
      </c>
      <c r="K2" s="816"/>
      <c r="L2" s="816"/>
      <c r="M2" s="816"/>
      <c r="N2" s="816"/>
      <c r="O2" s="816"/>
      <c r="P2" s="816"/>
      <c r="Q2" s="816"/>
      <c r="R2" s="70"/>
      <c r="S2" s="817" t="s">
        <v>1077</v>
      </c>
      <c r="T2" s="816"/>
      <c r="U2" s="816"/>
      <c r="V2" s="816"/>
      <c r="W2" s="816"/>
      <c r="X2" s="816"/>
      <c r="Y2" s="816"/>
      <c r="Z2" s="816"/>
      <c r="AA2" s="70"/>
      <c r="AB2" s="202" t="s">
        <v>1076</v>
      </c>
      <c r="AC2" s="203"/>
      <c r="AD2" s="203"/>
      <c r="AE2" s="203"/>
      <c r="AF2" s="203"/>
      <c r="AG2" s="120"/>
      <c r="AH2" s="204"/>
      <c r="AI2" s="205" t="s">
        <v>763</v>
      </c>
      <c r="AJ2" s="204"/>
      <c r="AK2" s="204"/>
      <c r="AL2" s="206"/>
    </row>
    <row r="3" spans="1:38" ht="12.75" customHeight="1">
      <c r="A3" s="817" t="s">
        <v>764</v>
      </c>
      <c r="B3" s="816"/>
      <c r="C3" s="816"/>
      <c r="D3" s="816"/>
      <c r="E3" s="816"/>
      <c r="F3" s="816"/>
      <c r="G3" s="816"/>
      <c r="H3" s="816"/>
      <c r="I3" s="70"/>
      <c r="J3" s="817" t="s">
        <v>764</v>
      </c>
      <c r="K3" s="816"/>
      <c r="L3" s="816"/>
      <c r="M3" s="816"/>
      <c r="N3" s="816"/>
      <c r="O3" s="816"/>
      <c r="P3" s="816"/>
      <c r="Q3" s="816"/>
      <c r="R3" s="70"/>
      <c r="S3" s="817" t="s">
        <v>764</v>
      </c>
      <c r="T3" s="816"/>
      <c r="U3" s="816"/>
      <c r="V3" s="816"/>
      <c r="W3" s="816"/>
      <c r="X3" s="816"/>
      <c r="Y3" s="816"/>
      <c r="Z3" s="816"/>
      <c r="AA3" s="70"/>
      <c r="AB3" s="202" t="s">
        <v>1095</v>
      </c>
      <c r="AC3" s="203"/>
      <c r="AD3" s="203"/>
      <c r="AE3" s="203"/>
      <c r="AF3" s="203"/>
      <c r="AG3" s="120"/>
      <c r="AH3" s="204"/>
      <c r="AI3" s="204" t="s">
        <v>1076</v>
      </c>
      <c r="AJ3" s="204"/>
      <c r="AK3" s="204"/>
      <c r="AL3" s="206"/>
    </row>
    <row r="4" spans="1:38" ht="12.7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202" t="s">
        <v>765</v>
      </c>
      <c r="AC4" s="203"/>
      <c r="AD4" s="203"/>
      <c r="AE4" s="203"/>
      <c r="AF4" s="203"/>
      <c r="AG4" s="120"/>
      <c r="AH4" s="204"/>
      <c r="AI4" s="207" t="s">
        <v>766</v>
      </c>
      <c r="AJ4" s="207" t="str">
        <f>G8</f>
        <v>DYY-LCH25110</v>
      </c>
      <c r="AK4" s="204"/>
      <c r="AL4" s="206"/>
    </row>
    <row r="5" spans="1:38" ht="12.75" customHeight="1">
      <c r="A5" s="818" t="s">
        <v>767</v>
      </c>
      <c r="B5" s="816"/>
      <c r="C5" s="816"/>
      <c r="D5" s="816"/>
      <c r="E5" s="816"/>
      <c r="F5" s="816"/>
      <c r="G5" s="816"/>
      <c r="H5" s="816"/>
      <c r="I5" s="122"/>
      <c r="J5" s="818" t="s">
        <v>767</v>
      </c>
      <c r="K5" s="816"/>
      <c r="L5" s="816"/>
      <c r="M5" s="816"/>
      <c r="N5" s="816"/>
      <c r="O5" s="816"/>
      <c r="P5" s="816"/>
      <c r="Q5" s="816"/>
      <c r="R5" s="122"/>
      <c r="S5" s="818" t="s">
        <v>768</v>
      </c>
      <c r="T5" s="816"/>
      <c r="U5" s="816"/>
      <c r="V5" s="816"/>
      <c r="W5" s="816"/>
      <c r="X5" s="816"/>
      <c r="Y5" s="816"/>
      <c r="Z5" s="816"/>
      <c r="AA5" s="122"/>
      <c r="AB5" s="208" t="s">
        <v>1096</v>
      </c>
      <c r="AC5" s="203"/>
      <c r="AD5" s="203"/>
      <c r="AE5" s="203"/>
      <c r="AF5" s="203"/>
      <c r="AG5" s="120"/>
      <c r="AH5" s="204"/>
      <c r="AI5" s="204"/>
      <c r="AJ5" s="204"/>
      <c r="AK5" s="204"/>
      <c r="AL5" s="206"/>
    </row>
    <row r="6" spans="1:38" ht="12.75" customHeight="1">
      <c r="A6" s="7"/>
      <c r="B6" s="123"/>
      <c r="C6" s="123"/>
      <c r="D6" s="123"/>
      <c r="E6" s="123"/>
      <c r="F6" s="7" t="s">
        <v>769</v>
      </c>
      <c r="G6" s="122" t="str">
        <f>VLOOKUP(G8,'TOTAL - LCB'!$A$18:$AE$1851,12,FALSE)</f>
        <v>DYY-LCH25110</v>
      </c>
      <c r="H6" s="123"/>
      <c r="I6" s="123"/>
      <c r="J6" s="7"/>
      <c r="K6" s="123"/>
      <c r="L6" s="123"/>
      <c r="M6" s="123"/>
      <c r="N6" s="123"/>
      <c r="O6" s="7" t="s">
        <v>769</v>
      </c>
      <c r="P6" s="124" t="str">
        <f>VLOOKUP(P8,'TOTAL - LCB'!$A$18:$AE$1851,12,FALSE)</f>
        <v>DYY-LCH25110</v>
      </c>
      <c r="Q6" s="123"/>
      <c r="R6" s="123"/>
      <c r="S6" s="7"/>
      <c r="T6" s="123"/>
      <c r="U6" s="123"/>
      <c r="V6" s="123"/>
      <c r="W6" s="123"/>
      <c r="X6" s="7" t="s">
        <v>770</v>
      </c>
      <c r="Y6" s="124" t="str">
        <f>VLOOKUP(Y8,'TOTAL - LCB'!$A$18:$AE$1851,12,FALSE)</f>
        <v>DYY-LCH25110</v>
      </c>
      <c r="Z6" s="123"/>
      <c r="AA6" s="123"/>
      <c r="AB6" s="202" t="s">
        <v>771</v>
      </c>
      <c r="AC6" s="203"/>
      <c r="AD6" s="203"/>
      <c r="AE6" s="203"/>
      <c r="AF6" s="203"/>
      <c r="AG6" s="120"/>
      <c r="AH6" s="204"/>
      <c r="AI6" s="209" t="s">
        <v>772</v>
      </c>
      <c r="AJ6" s="209" t="s">
        <v>773</v>
      </c>
      <c r="AK6" s="204"/>
      <c r="AL6" s="206"/>
    </row>
    <row r="7" spans="1:38" ht="12.75" customHeight="1">
      <c r="A7" s="7"/>
      <c r="B7" s="7"/>
      <c r="C7" s="7"/>
      <c r="D7" s="7"/>
      <c r="E7" s="7"/>
      <c r="F7" s="7" t="s">
        <v>774</v>
      </c>
      <c r="G7" s="125">
        <f>VLOOKUP(G8,'TOTAL - LCB'!$A$18:$AE$1851,2,FALSE)</f>
        <v>45824</v>
      </c>
      <c r="H7" s="7"/>
      <c r="I7" s="7"/>
      <c r="J7" s="7"/>
      <c r="K7" s="7"/>
      <c r="L7" s="7"/>
      <c r="M7" s="7"/>
      <c r="N7" s="7"/>
      <c r="O7" s="7" t="s">
        <v>774</v>
      </c>
      <c r="P7" s="125">
        <f>VLOOKUP(P8,'TOTAL - LCB'!$A$18:$AE$1851,2,FALSE)</f>
        <v>45824</v>
      </c>
      <c r="Q7" s="7"/>
      <c r="R7" s="7"/>
      <c r="S7" s="7"/>
      <c r="T7" s="7"/>
      <c r="U7" s="7"/>
      <c r="V7" s="7"/>
      <c r="W7" s="7"/>
      <c r="X7" s="7" t="s">
        <v>774</v>
      </c>
      <c r="Y7" s="125">
        <f>VLOOKUP(Y8,'TOTAL - LCB'!$A$18:$AE$1851,2,FALSE)</f>
        <v>45824</v>
      </c>
      <c r="Z7" s="7"/>
      <c r="AA7" s="7"/>
      <c r="AB7" s="202"/>
      <c r="AC7" s="126"/>
      <c r="AD7" s="126"/>
      <c r="AE7" s="126"/>
      <c r="AF7" s="126"/>
      <c r="AG7" s="127"/>
      <c r="AH7" s="204"/>
      <c r="AI7" s="204"/>
      <c r="AJ7" s="209"/>
      <c r="AK7" s="204"/>
      <c r="AL7" s="206"/>
    </row>
    <row r="8" spans="1:38" ht="12.75" customHeight="1">
      <c r="A8" s="128" t="s">
        <v>775</v>
      </c>
      <c r="B8" s="7"/>
      <c r="C8" s="7"/>
      <c r="D8" s="7"/>
      <c r="E8" s="7"/>
      <c r="F8" s="121" t="s">
        <v>766</v>
      </c>
      <c r="G8" s="121" t="s">
        <v>2115</v>
      </c>
      <c r="H8" s="7"/>
      <c r="I8" s="7"/>
      <c r="J8" s="128" t="s">
        <v>775</v>
      </c>
      <c r="K8" s="7"/>
      <c r="L8" s="7"/>
      <c r="M8" s="7"/>
      <c r="N8" s="7"/>
      <c r="O8" s="121" t="s">
        <v>766</v>
      </c>
      <c r="P8" s="121" t="str">
        <f>G8</f>
        <v>DYY-LCH25110</v>
      </c>
      <c r="Q8" s="7"/>
      <c r="R8" s="7"/>
      <c r="S8" s="128" t="s">
        <v>776</v>
      </c>
      <c r="T8" s="7"/>
      <c r="U8" s="7"/>
      <c r="V8" s="7"/>
      <c r="W8" s="7"/>
      <c r="X8" s="121" t="s">
        <v>766</v>
      </c>
      <c r="Y8" s="121" t="str">
        <f>P8</f>
        <v>DYY-LCH25110</v>
      </c>
      <c r="Z8" s="7"/>
      <c r="AA8" s="7"/>
      <c r="AB8" s="210" t="s">
        <v>777</v>
      </c>
      <c r="AC8" s="129"/>
      <c r="AD8" s="129"/>
      <c r="AE8" s="129"/>
      <c r="AF8" s="129"/>
      <c r="AG8" s="130"/>
      <c r="AH8" s="204"/>
      <c r="AI8" s="205"/>
      <c r="AJ8" s="209"/>
      <c r="AK8" s="204"/>
      <c r="AL8" s="206"/>
    </row>
    <row r="9" spans="1:38" ht="12.75" customHeight="1">
      <c r="A9" s="24" t="s">
        <v>26</v>
      </c>
      <c r="B9" s="7"/>
      <c r="C9" s="7"/>
      <c r="D9" s="7"/>
      <c r="E9" s="7"/>
      <c r="F9" s="7"/>
      <c r="G9" s="7"/>
      <c r="H9" s="7"/>
      <c r="I9" s="7"/>
      <c r="J9" s="24" t="s">
        <v>26</v>
      </c>
      <c r="K9" s="7"/>
      <c r="L9" s="7"/>
      <c r="M9" s="7"/>
      <c r="N9" s="7"/>
      <c r="O9" s="7"/>
      <c r="P9" s="7"/>
      <c r="Q9" s="7"/>
      <c r="R9" s="7"/>
      <c r="S9" s="7" t="s">
        <v>1076</v>
      </c>
      <c r="T9" s="7"/>
      <c r="U9" s="7"/>
      <c r="V9" s="7"/>
      <c r="W9" s="7"/>
      <c r="X9" s="7"/>
      <c r="Y9" s="7"/>
      <c r="Z9" s="7"/>
      <c r="AA9" s="7"/>
      <c r="AB9" s="211" t="s">
        <v>26</v>
      </c>
      <c r="AC9" s="204"/>
      <c r="AD9" s="204"/>
      <c r="AE9" s="204"/>
      <c r="AF9" s="204"/>
      <c r="AG9" s="131"/>
      <c r="AH9" s="204"/>
      <c r="AI9" s="212"/>
      <c r="AJ9" s="204"/>
      <c r="AK9" s="204"/>
      <c r="AL9" s="206"/>
    </row>
    <row r="10" spans="1:38" ht="12.75" customHeight="1">
      <c r="A10" s="24" t="s">
        <v>778</v>
      </c>
      <c r="B10" s="7"/>
      <c r="C10" s="7"/>
      <c r="D10" s="7"/>
      <c r="E10" s="7"/>
      <c r="F10" s="7"/>
      <c r="G10" s="7"/>
      <c r="H10" s="7"/>
      <c r="I10" s="7"/>
      <c r="J10" s="24" t="s">
        <v>778</v>
      </c>
      <c r="K10" s="7"/>
      <c r="L10" s="7"/>
      <c r="M10" s="7"/>
      <c r="N10" s="7"/>
      <c r="O10" s="7"/>
      <c r="P10" s="7"/>
      <c r="Q10" s="7"/>
      <c r="R10" s="7"/>
      <c r="S10" s="7" t="s">
        <v>1077</v>
      </c>
      <c r="T10" s="7"/>
      <c r="U10" s="7"/>
      <c r="V10" s="7"/>
      <c r="W10" s="7"/>
      <c r="X10" s="7"/>
      <c r="Y10" s="7"/>
      <c r="Z10" s="7"/>
      <c r="AA10" s="7"/>
      <c r="AB10" s="211" t="s">
        <v>778</v>
      </c>
      <c r="AC10" s="205"/>
      <c r="AD10" s="204"/>
      <c r="AE10" s="204"/>
      <c r="AF10" s="204"/>
      <c r="AG10" s="131"/>
      <c r="AH10" s="204"/>
      <c r="AI10" s="213"/>
      <c r="AJ10" s="204"/>
      <c r="AK10" s="204"/>
      <c r="AL10" s="206"/>
    </row>
    <row r="11" spans="1:38" ht="12.75" customHeight="1">
      <c r="A11" s="24" t="s">
        <v>779</v>
      </c>
      <c r="B11" s="7"/>
      <c r="C11" s="7"/>
      <c r="D11" s="7"/>
      <c r="E11" s="7"/>
      <c r="F11" s="7"/>
      <c r="G11" s="7"/>
      <c r="H11" s="7"/>
      <c r="I11" s="7"/>
      <c r="J11" s="24" t="s">
        <v>779</v>
      </c>
      <c r="K11" s="7"/>
      <c r="L11" s="7"/>
      <c r="M11" s="7"/>
      <c r="N11" s="7"/>
      <c r="O11" s="7"/>
      <c r="P11" s="7"/>
      <c r="Q11" s="226"/>
      <c r="R11" s="7"/>
      <c r="S11" s="7" t="s">
        <v>780</v>
      </c>
      <c r="T11" s="7"/>
      <c r="U11" s="7"/>
      <c r="V11" s="7"/>
      <c r="W11" s="7"/>
      <c r="X11" s="7"/>
      <c r="Y11" s="7"/>
      <c r="Z11" s="7"/>
      <c r="AA11" s="7"/>
      <c r="AB11" s="211" t="s">
        <v>779</v>
      </c>
      <c r="AC11" s="214"/>
      <c r="AD11" s="204"/>
      <c r="AE11" s="204"/>
      <c r="AF11" s="204"/>
      <c r="AG11" s="131"/>
      <c r="AH11" s="204"/>
      <c r="AI11" s="213"/>
      <c r="AJ11" s="204"/>
      <c r="AK11" s="204"/>
      <c r="AL11" s="206"/>
    </row>
    <row r="12" spans="1:38" ht="12.75" customHeight="1">
      <c r="A12" s="24" t="s">
        <v>781</v>
      </c>
      <c r="B12" s="7"/>
      <c r="C12" s="7"/>
      <c r="D12" s="7"/>
      <c r="E12" s="7"/>
      <c r="F12" s="7"/>
      <c r="G12" s="7"/>
      <c r="H12" s="7"/>
      <c r="I12" s="7"/>
      <c r="J12" s="24" t="s">
        <v>781</v>
      </c>
      <c r="K12" s="7"/>
      <c r="L12" s="7"/>
      <c r="M12" s="7"/>
      <c r="N12" s="7"/>
      <c r="O12" s="7"/>
      <c r="P12" s="7"/>
      <c r="Q12" s="226"/>
      <c r="R12" s="7"/>
      <c r="S12" s="7"/>
      <c r="T12" s="7"/>
      <c r="U12" s="7"/>
      <c r="V12" s="7"/>
      <c r="W12" s="7"/>
      <c r="X12" s="7"/>
      <c r="Y12" s="7"/>
      <c r="Z12" s="7"/>
      <c r="AA12" s="7"/>
      <c r="AB12" s="211" t="s">
        <v>781</v>
      </c>
      <c r="AC12" s="214"/>
      <c r="AD12" s="204"/>
      <c r="AE12" s="204"/>
      <c r="AF12" s="204"/>
      <c r="AG12" s="131"/>
      <c r="AH12" s="204"/>
      <c r="AI12" s="204"/>
      <c r="AJ12" s="204"/>
      <c r="AK12" s="204"/>
      <c r="AL12" s="206"/>
    </row>
    <row r="13" spans="1:38" ht="12.75" customHeight="1">
      <c r="A13" s="24" t="s">
        <v>782</v>
      </c>
      <c r="B13" s="7"/>
      <c r="C13" s="7"/>
      <c r="D13" s="7"/>
      <c r="E13" s="7"/>
      <c r="F13" s="7"/>
      <c r="G13" s="7"/>
      <c r="H13" s="7"/>
      <c r="I13" s="7"/>
      <c r="J13" s="24" t="s">
        <v>782</v>
      </c>
      <c r="K13" s="7"/>
      <c r="L13" s="7"/>
      <c r="M13" s="7"/>
      <c r="N13" s="7"/>
      <c r="O13" s="7"/>
      <c r="P13" s="7"/>
      <c r="Q13" s="226"/>
      <c r="R13" s="7"/>
      <c r="S13" s="7"/>
      <c r="T13" s="7"/>
      <c r="U13" s="7"/>
      <c r="V13" s="7"/>
      <c r="W13" s="7"/>
      <c r="X13" s="7"/>
      <c r="Y13" s="7"/>
      <c r="Z13" s="7"/>
      <c r="AA13" s="7"/>
      <c r="AB13" s="211" t="s">
        <v>782</v>
      </c>
      <c r="AC13" s="214"/>
      <c r="AD13" s="204"/>
      <c r="AE13" s="204"/>
      <c r="AF13" s="204"/>
      <c r="AG13" s="131"/>
      <c r="AH13" s="204"/>
      <c r="AI13" s="204"/>
      <c r="AJ13" s="204"/>
      <c r="AK13" s="204"/>
      <c r="AL13" s="206"/>
    </row>
    <row r="14" spans="1:38" ht="12.75" customHeight="1">
      <c r="A14" s="24" t="s">
        <v>783</v>
      </c>
      <c r="B14" s="7"/>
      <c r="C14" s="7"/>
      <c r="D14" s="7"/>
      <c r="E14" s="7"/>
      <c r="F14" s="7"/>
      <c r="G14" s="7"/>
      <c r="H14" s="7"/>
      <c r="I14" s="7"/>
      <c r="J14" s="24" t="s">
        <v>783</v>
      </c>
      <c r="K14" s="7"/>
      <c r="L14" s="7"/>
      <c r="M14" s="7"/>
      <c r="N14" s="7"/>
      <c r="O14" s="7"/>
      <c r="P14" s="7"/>
      <c r="Q14" s="226"/>
      <c r="R14" s="7"/>
      <c r="S14" s="7"/>
      <c r="T14" s="7"/>
      <c r="U14" s="7"/>
      <c r="V14" s="7"/>
      <c r="W14" s="7"/>
      <c r="X14" s="7"/>
      <c r="Y14" s="7"/>
      <c r="Z14" s="7"/>
      <c r="AA14" s="7"/>
      <c r="AB14" s="211" t="s">
        <v>783</v>
      </c>
      <c r="AC14" s="214"/>
      <c r="AD14" s="204"/>
      <c r="AE14" s="204"/>
      <c r="AF14" s="204"/>
      <c r="AG14" s="131"/>
      <c r="AH14" s="204"/>
      <c r="AI14" s="204"/>
      <c r="AJ14" s="204"/>
      <c r="AK14" s="204"/>
      <c r="AL14" s="206"/>
    </row>
    <row r="15" spans="1:38" ht="12.75" customHeight="1">
      <c r="A15" s="24" t="s">
        <v>784</v>
      </c>
      <c r="B15" s="7"/>
      <c r="C15" s="7"/>
      <c r="D15" s="7"/>
      <c r="E15" s="7"/>
      <c r="F15" s="7"/>
      <c r="G15" s="7"/>
      <c r="H15" s="7"/>
      <c r="I15" s="7"/>
      <c r="J15" s="24" t="s">
        <v>784</v>
      </c>
      <c r="K15" s="7"/>
      <c r="L15" s="7"/>
      <c r="M15" s="7"/>
      <c r="N15" s="7"/>
      <c r="O15" s="7"/>
      <c r="P15" s="7"/>
      <c r="Q15" s="226"/>
      <c r="R15" s="7"/>
      <c r="S15" s="128" t="s">
        <v>785</v>
      </c>
      <c r="T15" s="7"/>
      <c r="U15" s="7"/>
      <c r="V15" s="7"/>
      <c r="W15" s="7"/>
      <c r="X15" s="7"/>
      <c r="Y15" s="7"/>
      <c r="Z15" s="7"/>
      <c r="AA15" s="7"/>
      <c r="AB15" s="211" t="s">
        <v>1452</v>
      </c>
      <c r="AC15" s="132"/>
      <c r="AD15" s="126"/>
      <c r="AE15" s="126"/>
      <c r="AF15" s="126"/>
      <c r="AG15" s="127"/>
      <c r="AH15" s="204"/>
      <c r="AI15" s="204"/>
      <c r="AJ15" s="204"/>
      <c r="AK15" s="204"/>
      <c r="AL15" s="206"/>
    </row>
    <row r="16" spans="1:38" ht="12.75" customHeight="1">
      <c r="A16" s="24" t="s">
        <v>1451</v>
      </c>
      <c r="B16" s="7"/>
      <c r="C16" s="7"/>
      <c r="D16" s="7"/>
      <c r="E16" s="7"/>
      <c r="F16" s="7"/>
      <c r="G16" s="7"/>
      <c r="H16" s="7"/>
      <c r="I16" s="7"/>
      <c r="J16" s="24" t="s">
        <v>1451</v>
      </c>
      <c r="K16" s="7"/>
      <c r="L16" s="7"/>
      <c r="M16" s="7"/>
      <c r="N16" s="7"/>
      <c r="O16" s="7"/>
      <c r="P16" s="7"/>
      <c r="Q16" s="226"/>
      <c r="R16" s="7"/>
      <c r="S16" s="24" t="s">
        <v>26</v>
      </c>
      <c r="T16" s="7"/>
      <c r="U16" s="7"/>
      <c r="V16" s="7"/>
      <c r="W16" s="7"/>
      <c r="X16" s="7"/>
      <c r="Y16" s="7"/>
      <c r="Z16" s="7"/>
      <c r="AA16" s="7"/>
      <c r="AB16" s="211"/>
      <c r="AC16" s="214"/>
      <c r="AD16" s="204"/>
      <c r="AE16" s="204"/>
      <c r="AF16" s="204"/>
      <c r="AG16" s="131"/>
      <c r="AH16" s="204"/>
      <c r="AI16" s="204"/>
      <c r="AJ16" s="204"/>
      <c r="AK16" s="204"/>
      <c r="AL16" s="206"/>
    </row>
    <row r="17" spans="1:38" ht="12.75" customHeight="1">
      <c r="A17" s="133" t="s">
        <v>786</v>
      </c>
      <c r="B17" s="7"/>
      <c r="C17" s="7"/>
      <c r="D17" s="7"/>
      <c r="E17" s="7"/>
      <c r="F17" s="7"/>
      <c r="G17" s="7"/>
      <c r="H17" s="7"/>
      <c r="I17" s="7"/>
      <c r="J17" s="133" t="s">
        <v>786</v>
      </c>
      <c r="K17" s="7"/>
      <c r="L17" s="7"/>
      <c r="M17" s="7"/>
      <c r="N17" s="7"/>
      <c r="O17" s="7"/>
      <c r="P17" s="7"/>
      <c r="Q17" s="226"/>
      <c r="R17" s="7"/>
      <c r="S17" s="24" t="s">
        <v>778</v>
      </c>
      <c r="T17" s="7"/>
      <c r="U17" s="7"/>
      <c r="V17" s="7"/>
      <c r="W17" s="7"/>
      <c r="X17" s="7"/>
      <c r="Y17" s="7"/>
      <c r="Z17" s="7"/>
      <c r="AA17" s="7"/>
      <c r="AB17" s="210" t="s">
        <v>787</v>
      </c>
      <c r="AC17" s="129"/>
      <c r="AD17" s="129"/>
      <c r="AE17" s="129"/>
      <c r="AF17" s="129"/>
      <c r="AG17" s="130"/>
      <c r="AH17" s="215" t="s">
        <v>788</v>
      </c>
      <c r="AI17" s="204"/>
      <c r="AJ17" s="205" t="str">
        <f>VLOOKUP(AJ4,'TOTAL - LCB'!$A$18:$AE$1851,9,FALSE)</f>
        <v>LCHNSA25N06111</v>
      </c>
      <c r="AK17" s="204"/>
      <c r="AL17" s="206"/>
    </row>
    <row r="18" spans="1:38" ht="12.75" customHeight="1">
      <c r="A18" s="24" t="s">
        <v>26</v>
      </c>
      <c r="B18" s="7"/>
      <c r="C18" s="7"/>
      <c r="D18" s="7"/>
      <c r="E18" s="7"/>
      <c r="F18" s="7"/>
      <c r="G18" s="7"/>
      <c r="H18" s="7"/>
      <c r="I18" s="7"/>
      <c r="J18" s="24" t="s">
        <v>26</v>
      </c>
      <c r="K18" s="7"/>
      <c r="L18" s="7"/>
      <c r="M18" s="7"/>
      <c r="N18" s="7"/>
      <c r="O18" s="7"/>
      <c r="P18" s="7"/>
      <c r="Q18" s="226"/>
      <c r="R18" s="7"/>
      <c r="S18" s="24" t="s">
        <v>779</v>
      </c>
      <c r="T18" s="7"/>
      <c r="U18" s="7"/>
      <c r="V18" s="7"/>
      <c r="W18" s="7"/>
      <c r="X18" s="7"/>
      <c r="Y18" s="7"/>
      <c r="Z18" s="7"/>
      <c r="AA18" s="7"/>
      <c r="AB18" s="211" t="s">
        <v>26</v>
      </c>
      <c r="AC18" s="204"/>
      <c r="AD18" s="204"/>
      <c r="AE18" s="204"/>
      <c r="AF18" s="204"/>
      <c r="AG18" s="131"/>
      <c r="AH18" s="215"/>
      <c r="AI18" s="204"/>
      <c r="AJ18" s="204"/>
      <c r="AK18" s="204"/>
      <c r="AL18" s="206"/>
    </row>
    <row r="19" spans="1:38" ht="12.75" customHeight="1">
      <c r="A19" s="24" t="s">
        <v>778</v>
      </c>
      <c r="B19" s="7"/>
      <c r="C19" s="7"/>
      <c r="D19" s="7"/>
      <c r="E19" s="7"/>
      <c r="F19" s="7"/>
      <c r="G19" s="7"/>
      <c r="H19" s="7"/>
      <c r="I19" s="7"/>
      <c r="J19" s="24" t="s">
        <v>778</v>
      </c>
      <c r="K19" s="7"/>
      <c r="L19" s="7"/>
      <c r="M19" s="7"/>
      <c r="N19" s="7"/>
      <c r="O19" s="7"/>
      <c r="P19" s="7"/>
      <c r="Q19" s="226"/>
      <c r="R19" s="7"/>
      <c r="S19" s="24" t="s">
        <v>781</v>
      </c>
      <c r="T19" s="7"/>
      <c r="U19" s="7"/>
      <c r="V19" s="7"/>
      <c r="W19" s="7"/>
      <c r="X19" s="7"/>
      <c r="Y19" s="7"/>
      <c r="Z19" s="7"/>
      <c r="AA19" s="7"/>
      <c r="AB19" s="211" t="s">
        <v>778</v>
      </c>
      <c r="AC19" s="204"/>
      <c r="AD19" s="204"/>
      <c r="AE19" s="204"/>
      <c r="AF19" s="204"/>
      <c r="AG19" s="131"/>
      <c r="AH19" s="215"/>
      <c r="AI19" s="204"/>
      <c r="AJ19" s="204"/>
      <c r="AK19" s="204"/>
      <c r="AL19" s="206"/>
    </row>
    <row r="20" spans="1:38" ht="12.75" customHeight="1">
      <c r="A20" s="24" t="s">
        <v>779</v>
      </c>
      <c r="B20" s="7"/>
      <c r="C20" s="7"/>
      <c r="D20" s="7"/>
      <c r="E20" s="7"/>
      <c r="F20" s="7"/>
      <c r="G20" s="7"/>
      <c r="H20" s="7"/>
      <c r="I20" s="7"/>
      <c r="J20" s="24" t="s">
        <v>779</v>
      </c>
      <c r="K20" s="7"/>
      <c r="L20" s="7"/>
      <c r="M20" s="7"/>
      <c r="N20" s="7"/>
      <c r="O20" s="7"/>
      <c r="P20" s="7"/>
      <c r="Q20" s="226"/>
      <c r="R20" s="7"/>
      <c r="S20" s="24" t="s">
        <v>782</v>
      </c>
      <c r="T20" s="7"/>
      <c r="U20" s="7"/>
      <c r="V20" s="7"/>
      <c r="W20" s="7"/>
      <c r="X20" s="7"/>
      <c r="Y20" s="7"/>
      <c r="Z20" s="7"/>
      <c r="AA20" s="7"/>
      <c r="AB20" s="211" t="s">
        <v>779</v>
      </c>
      <c r="AC20" s="204"/>
      <c r="AD20" s="204"/>
      <c r="AE20" s="204"/>
      <c r="AF20" s="204"/>
      <c r="AG20" s="131"/>
      <c r="AH20" s="204"/>
      <c r="AI20" s="204"/>
      <c r="AJ20" s="204"/>
      <c r="AK20" s="204"/>
      <c r="AL20" s="206"/>
    </row>
    <row r="21" spans="1:38" ht="12.75" customHeight="1">
      <c r="A21" s="24" t="s">
        <v>781</v>
      </c>
      <c r="B21" s="7"/>
      <c r="C21" s="7"/>
      <c r="D21" s="7"/>
      <c r="E21" s="7"/>
      <c r="F21" s="7"/>
      <c r="G21" s="7"/>
      <c r="H21" s="7"/>
      <c r="I21" s="7"/>
      <c r="J21" s="24" t="s">
        <v>781</v>
      </c>
      <c r="K21" s="7"/>
      <c r="L21" s="7"/>
      <c r="M21" s="7"/>
      <c r="N21" s="7"/>
      <c r="O21" s="7"/>
      <c r="P21" s="7"/>
      <c r="Q21" s="226"/>
      <c r="R21" s="7"/>
      <c r="S21" s="24" t="s">
        <v>783</v>
      </c>
      <c r="T21" s="7"/>
      <c r="U21" s="7"/>
      <c r="V21" s="7"/>
      <c r="W21" s="7"/>
      <c r="X21" s="7"/>
      <c r="Y21" s="7"/>
      <c r="Z21" s="7"/>
      <c r="AA21" s="7"/>
      <c r="AB21" s="211" t="s">
        <v>781</v>
      </c>
      <c r="AC21" s="204"/>
      <c r="AD21" s="204"/>
      <c r="AE21" s="204"/>
      <c r="AF21" s="204"/>
      <c r="AG21" s="131"/>
      <c r="AH21" s="204"/>
      <c r="AI21" s="204"/>
      <c r="AJ21" s="204"/>
      <c r="AK21" s="204"/>
      <c r="AL21" s="206"/>
    </row>
    <row r="22" spans="1:38" ht="12.75" customHeight="1">
      <c r="A22" s="24" t="s">
        <v>782</v>
      </c>
      <c r="B22" s="7"/>
      <c r="C22" s="7"/>
      <c r="D22" s="7"/>
      <c r="E22" s="7"/>
      <c r="F22" s="7"/>
      <c r="G22" s="7"/>
      <c r="H22" s="7"/>
      <c r="I22" s="7"/>
      <c r="J22" s="24" t="s">
        <v>782</v>
      </c>
      <c r="K22" s="7"/>
      <c r="L22" s="7"/>
      <c r="M22" s="7"/>
      <c r="N22" s="7"/>
      <c r="O22" s="7"/>
      <c r="P22" s="7"/>
      <c r="Q22" s="226"/>
      <c r="R22" s="7"/>
      <c r="S22" s="24" t="s">
        <v>784</v>
      </c>
      <c r="T22" s="7"/>
      <c r="U22" s="7"/>
      <c r="V22" s="7"/>
      <c r="W22" s="7"/>
      <c r="X22" s="7"/>
      <c r="Y22" s="7"/>
      <c r="Z22" s="7"/>
      <c r="AA22" s="7"/>
      <c r="AB22" s="211" t="s">
        <v>782</v>
      </c>
      <c r="AC22" s="204"/>
      <c r="AD22" s="204"/>
      <c r="AE22" s="204"/>
      <c r="AF22" s="204"/>
      <c r="AG22" s="131"/>
      <c r="AH22" s="204"/>
      <c r="AI22" s="204"/>
      <c r="AJ22" s="204"/>
      <c r="AK22" s="204"/>
      <c r="AL22" s="206"/>
    </row>
    <row r="23" spans="1:38" ht="12.75" customHeight="1">
      <c r="A23" s="24" t="s">
        <v>783</v>
      </c>
      <c r="B23" s="7"/>
      <c r="C23" s="7"/>
      <c r="D23" s="7"/>
      <c r="E23" s="7"/>
      <c r="F23" s="7"/>
      <c r="G23" s="7"/>
      <c r="H23" s="7"/>
      <c r="I23" s="7"/>
      <c r="J23" s="24" t="s">
        <v>783</v>
      </c>
      <c r="K23" s="7"/>
      <c r="L23" s="7"/>
      <c r="M23" s="7"/>
      <c r="N23" s="7"/>
      <c r="O23" s="7"/>
      <c r="P23" s="7"/>
      <c r="Q23" s="226"/>
      <c r="R23" s="7"/>
      <c r="S23" s="24" t="s">
        <v>1451</v>
      </c>
      <c r="T23" s="7"/>
      <c r="U23" s="7"/>
      <c r="V23" s="7"/>
      <c r="W23" s="7"/>
      <c r="X23" s="7"/>
      <c r="Y23" s="7"/>
      <c r="Z23" s="7"/>
      <c r="AA23" s="226"/>
      <c r="AB23" s="211" t="s">
        <v>783</v>
      </c>
      <c r="AC23" s="204"/>
      <c r="AD23" s="204"/>
      <c r="AE23" s="204"/>
      <c r="AF23" s="204"/>
      <c r="AG23" s="131"/>
      <c r="AH23" s="204"/>
      <c r="AI23" s="204"/>
      <c r="AJ23" s="204"/>
      <c r="AK23" s="204"/>
      <c r="AL23" s="206"/>
    </row>
    <row r="24" spans="1:38" ht="15" customHeight="1">
      <c r="A24" s="24" t="s">
        <v>784</v>
      </c>
      <c r="B24" s="7"/>
      <c r="C24" s="7"/>
      <c r="D24" s="7"/>
      <c r="E24" s="7"/>
      <c r="F24" s="7"/>
      <c r="G24" s="7"/>
      <c r="H24" s="7"/>
      <c r="I24" s="7"/>
      <c r="J24" s="24" t="s">
        <v>784</v>
      </c>
      <c r="K24" s="7"/>
      <c r="L24" s="7"/>
      <c r="M24" s="7"/>
      <c r="N24" s="7"/>
      <c r="O24" s="7"/>
      <c r="P24" s="7"/>
      <c r="Q24" s="226"/>
      <c r="R24" s="172"/>
      <c r="S24" s="134" t="s">
        <v>789</v>
      </c>
      <c r="T24" s="825" t="s">
        <v>790</v>
      </c>
      <c r="U24" s="826"/>
      <c r="V24" s="134" t="s">
        <v>791</v>
      </c>
      <c r="W24" s="135" t="s">
        <v>792</v>
      </c>
      <c r="X24" s="827" t="s">
        <v>793</v>
      </c>
      <c r="Y24" s="826"/>
      <c r="Z24" s="134" t="s">
        <v>794</v>
      </c>
      <c r="AA24" s="194"/>
      <c r="AB24" s="236" t="s">
        <v>1452</v>
      </c>
      <c r="AC24" s="126"/>
      <c r="AD24" s="126"/>
      <c r="AE24" s="126"/>
      <c r="AF24" s="126"/>
      <c r="AG24" s="127"/>
      <c r="AH24" s="204"/>
      <c r="AI24" s="204"/>
      <c r="AJ24" s="204"/>
      <c r="AK24" s="204"/>
      <c r="AL24" s="206"/>
    </row>
    <row r="25" spans="1:38" ht="15" customHeight="1">
      <c r="A25" s="24" t="s">
        <v>1451</v>
      </c>
      <c r="B25" s="7"/>
      <c r="C25" s="7"/>
      <c r="D25" s="7"/>
      <c r="E25" s="7"/>
      <c r="F25" s="7"/>
      <c r="G25" s="7"/>
      <c r="H25" s="7"/>
      <c r="I25" s="194"/>
      <c r="J25" s="24" t="s">
        <v>1451</v>
      </c>
      <c r="K25" s="7"/>
      <c r="L25" s="7"/>
      <c r="M25" s="7"/>
      <c r="N25" s="7"/>
      <c r="O25" s="7"/>
      <c r="P25" s="7"/>
      <c r="Q25" s="240"/>
      <c r="R25" s="235"/>
      <c r="S25" s="136"/>
      <c r="T25" s="830"/>
      <c r="U25" s="829"/>
      <c r="V25" s="136" t="e">
        <f>VLOOKUP(P8,'TOTAL - LCB'!$A$18:$AE$183,18,FALSE)</f>
        <v>#N/A</v>
      </c>
      <c r="W25" s="137" t="s">
        <v>795</v>
      </c>
      <c r="X25" s="828"/>
      <c r="Y25" s="829"/>
      <c r="Z25" s="358" t="s">
        <v>796</v>
      </c>
      <c r="AA25" s="6"/>
      <c r="AB25" s="237" t="s">
        <v>849</v>
      </c>
      <c r="AC25" s="129"/>
      <c r="AD25" s="129"/>
      <c r="AE25" s="138" t="s">
        <v>797</v>
      </c>
      <c r="AF25" s="129"/>
      <c r="AG25" s="130"/>
      <c r="AH25" s="204"/>
      <c r="AI25" s="204"/>
      <c r="AJ25" s="204"/>
      <c r="AK25" s="204"/>
      <c r="AL25" s="206"/>
    </row>
    <row r="26" spans="1:38" ht="15" customHeight="1">
      <c r="A26" s="134" t="s">
        <v>798</v>
      </c>
      <c r="B26" s="134" t="s">
        <v>792</v>
      </c>
      <c r="C26" s="134" t="s">
        <v>799</v>
      </c>
      <c r="D26" s="135" t="s">
        <v>800</v>
      </c>
      <c r="E26" s="134" t="s">
        <v>801</v>
      </c>
      <c r="F26" s="134" t="s">
        <v>802</v>
      </c>
      <c r="G26" s="134" t="s">
        <v>803</v>
      </c>
      <c r="H26" s="134" t="s">
        <v>794</v>
      </c>
      <c r="I26" s="6"/>
      <c r="J26" s="134" t="s">
        <v>798</v>
      </c>
      <c r="K26" s="134" t="s">
        <v>792</v>
      </c>
      <c r="L26" s="134" t="s">
        <v>799</v>
      </c>
      <c r="M26" s="135" t="s">
        <v>800</v>
      </c>
      <c r="N26" s="134" t="s">
        <v>801</v>
      </c>
      <c r="O26" s="134" t="s">
        <v>802</v>
      </c>
      <c r="P26" s="134" t="s">
        <v>803</v>
      </c>
      <c r="Q26" s="239" t="s">
        <v>794</v>
      </c>
      <c r="R26" s="6"/>
      <c r="S26" s="455" t="str">
        <f>J29</f>
        <v>SEGU9562477</v>
      </c>
      <c r="T26" s="356" t="str">
        <f>VLOOKUP(Y8,'TOTAL - LCB'!$A$18:$AE$1851,8,FALSE)</f>
        <v>FRESH MANGOSTEEN</v>
      </c>
      <c r="U26" s="350"/>
      <c r="V26" s="447">
        <f>VLOOKUP(Y8,'TOTAL - LCB'!$A$18:$AE$1851,17,FALSE)</f>
        <v>1734</v>
      </c>
      <c r="W26" s="355">
        <f>N29</f>
        <v>12138</v>
      </c>
      <c r="X26" s="357">
        <f>VLOOKUP(Y8,'TOTAL - LCB'!$A$18:$AE$1851,13,FALSE)</f>
        <v>2</v>
      </c>
      <c r="Y26" s="450"/>
      <c r="Z26" s="173">
        <f>W26*X26</f>
        <v>24276</v>
      </c>
      <c r="AA26" s="7"/>
      <c r="AB26" s="208"/>
      <c r="AC26" s="204"/>
      <c r="AD26" s="204"/>
      <c r="AE26" s="139" t="s">
        <v>804</v>
      </c>
      <c r="AF26" s="126"/>
      <c r="AG26" s="127"/>
      <c r="AH26" s="204"/>
      <c r="AI26" s="204"/>
      <c r="AJ26" s="204"/>
      <c r="AK26" s="204"/>
      <c r="AL26" s="206"/>
    </row>
    <row r="27" spans="1:38" ht="12.75" customHeight="1">
      <c r="A27" s="136"/>
      <c r="B27" s="136" t="str">
        <f>VLOOKUP(G8,'TOTAL - LCB'!$A$18:$AE$1851,18,FALSE)</f>
        <v>PLASTIC BASKETS</v>
      </c>
      <c r="C27" s="136"/>
      <c r="D27" s="137"/>
      <c r="E27" s="136" t="s">
        <v>805</v>
      </c>
      <c r="F27" s="136" t="s">
        <v>805</v>
      </c>
      <c r="G27" s="136" t="s">
        <v>806</v>
      </c>
      <c r="H27" s="136" t="s">
        <v>796</v>
      </c>
      <c r="I27" s="7"/>
      <c r="J27" s="136"/>
      <c r="K27" s="136" t="str">
        <f>VLOOKUP(G8,'TOTAL - LCB'!$A$18:$AE$1851,18,FALSE)</f>
        <v>PLASTIC BASKETS</v>
      </c>
      <c r="L27" s="136"/>
      <c r="M27" s="137"/>
      <c r="N27" s="136" t="s">
        <v>805</v>
      </c>
      <c r="O27" s="136" t="s">
        <v>805</v>
      </c>
      <c r="P27" s="136" t="s">
        <v>806</v>
      </c>
      <c r="Q27" s="136" t="s">
        <v>796</v>
      </c>
      <c r="R27" s="7"/>
      <c r="S27" s="348"/>
      <c r="T27" s="456" t="s">
        <v>29</v>
      </c>
      <c r="U27" s="354"/>
      <c r="V27" s="360">
        <f>SUM(K34)</f>
        <v>432</v>
      </c>
      <c r="W27" s="173">
        <f>SUM(N34)</f>
        <v>6264</v>
      </c>
      <c r="X27" s="451">
        <f>SUM(X26)</f>
        <v>2</v>
      </c>
      <c r="Y27" s="452"/>
      <c r="Z27" s="173">
        <f>W27*X27</f>
        <v>12528</v>
      </c>
      <c r="AA27" s="28"/>
      <c r="AB27" s="210" t="s">
        <v>807</v>
      </c>
      <c r="AC27" s="129"/>
      <c r="AD27" s="129"/>
      <c r="AE27" s="138" t="s">
        <v>808</v>
      </c>
      <c r="AF27" s="129"/>
      <c r="AG27" s="130"/>
      <c r="AH27" s="204"/>
      <c r="AI27" s="204"/>
      <c r="AJ27" s="204"/>
      <c r="AK27" s="204"/>
      <c r="AL27" s="206"/>
    </row>
    <row r="28" spans="1:38" ht="12.75" customHeight="1">
      <c r="A28" s="140"/>
      <c r="B28" s="140"/>
      <c r="C28" s="140"/>
      <c r="D28" s="141"/>
      <c r="E28" s="142"/>
      <c r="F28" s="142"/>
      <c r="G28" s="143"/>
      <c r="H28" s="140"/>
      <c r="I28" s="28"/>
      <c r="J28" s="140"/>
      <c r="K28" s="140"/>
      <c r="L28" s="140"/>
      <c r="M28" s="141"/>
      <c r="N28" s="142"/>
      <c r="O28" s="142"/>
      <c r="P28" s="143"/>
      <c r="Q28" s="140"/>
      <c r="R28" s="28"/>
      <c r="S28" s="348"/>
      <c r="T28" s="353"/>
      <c r="U28" s="354"/>
      <c r="V28" s="360"/>
      <c r="W28" s="173"/>
      <c r="X28" s="451"/>
      <c r="Y28" s="452"/>
      <c r="Z28" s="173"/>
      <c r="AA28" s="144"/>
      <c r="AB28" s="216" t="str">
        <f>VLOOKUP(AJ4,'TOTAL - LCB'!$A$18:$AE$1851,31,FALSE)</f>
        <v>ASIATIC REUNION V.2513N</v>
      </c>
      <c r="AC28" s="204"/>
      <c r="AD28" s="204"/>
      <c r="AE28" s="139" t="s">
        <v>804</v>
      </c>
      <c r="AF28" s="204"/>
      <c r="AG28" s="131"/>
      <c r="AH28" s="215"/>
      <c r="AI28" s="204"/>
      <c r="AJ28" s="204"/>
      <c r="AK28" s="204"/>
      <c r="AL28" s="206"/>
    </row>
    <row r="29" spans="1:38" ht="12.75" customHeight="1">
      <c r="A29" s="145" t="str">
        <f>VLOOKUP(G8,'TOTAL - LCB'!$A$18:$AE$1851,7,FALSE)</f>
        <v>SEGU9562477</v>
      </c>
      <c r="B29" s="146">
        <f>VLOOKUP(G8,'TOTAL - LCB'!$A$18:$AE$1851,17,FALSE)</f>
        <v>1734</v>
      </c>
      <c r="C29" s="145" t="str">
        <f>VLOOKUP(G8,'TOTAL - LCB'!$A$18:$AE$1851,18,FALSE)</f>
        <v>PLASTIC BASKETS</v>
      </c>
      <c r="D29" s="147" t="str">
        <f>VLOOKUP(G8,'TOTAL - LCB'!$A$18:$AE$1851,8,FALSE)</f>
        <v>FRESH MANGOSTEEN</v>
      </c>
      <c r="E29" s="148">
        <f>B29*E32</f>
        <v>12138</v>
      </c>
      <c r="F29" s="148">
        <f>B29*F32</f>
        <v>14739</v>
      </c>
      <c r="G29" s="149">
        <f>VLOOKUP(G8,'TOTAL - LCB'!$A$18:$AE$1851,14,FALSE)</f>
        <v>1.8</v>
      </c>
      <c r="H29" s="148">
        <f>E29*G29</f>
        <v>21848.400000000001</v>
      </c>
      <c r="I29" s="144"/>
      <c r="J29" s="145" t="str">
        <f>VLOOKUP(P8,'TOTAL - LCB'!$A$18:$AE$1851,7,FALSE)</f>
        <v>SEGU9562477</v>
      </c>
      <c r="K29" s="146">
        <f>VLOOKUP(P8,'TOTAL - LCB'!$A$18:$AE$1851,17,FALSE)</f>
        <v>1734</v>
      </c>
      <c r="L29" s="145" t="str">
        <f>VLOOKUP(P8,'TOTAL - LCB'!$A$18:$AE$1851,18,FALSE)</f>
        <v>PLASTIC BASKETS</v>
      </c>
      <c r="M29" s="147" t="str">
        <f>VLOOKUP(P8,'TOTAL - LCB'!$A$18:$AE$1851,8,FALSE)</f>
        <v>FRESH MANGOSTEEN</v>
      </c>
      <c r="N29" s="148">
        <f>K29*N32</f>
        <v>12138</v>
      </c>
      <c r="O29" s="148">
        <f>K29*O32</f>
        <v>14739</v>
      </c>
      <c r="P29" s="149">
        <f>VLOOKUP(P8,'TOTAL - LCB'!$A$18:$AE$1851,13,FALSE)</f>
        <v>2</v>
      </c>
      <c r="Q29" s="148">
        <f>N29*P29</f>
        <v>24276</v>
      </c>
      <c r="R29" s="144"/>
      <c r="S29" s="348"/>
      <c r="T29" s="353"/>
      <c r="U29" s="354"/>
      <c r="V29" s="360"/>
      <c r="W29" s="173"/>
      <c r="X29" s="451"/>
      <c r="Y29" s="452"/>
      <c r="Z29" s="173"/>
      <c r="AA29" s="150"/>
      <c r="AB29" s="210" t="s">
        <v>809</v>
      </c>
      <c r="AC29" s="129"/>
      <c r="AD29" s="130"/>
      <c r="AE29" s="138" t="s">
        <v>810</v>
      </c>
      <c r="AF29" s="129"/>
      <c r="AG29" s="129"/>
      <c r="AH29" s="151" t="s">
        <v>811</v>
      </c>
      <c r="AI29" s="151"/>
      <c r="AJ29" s="152"/>
      <c r="AK29" s="151" t="s">
        <v>812</v>
      </c>
      <c r="AL29" s="217"/>
    </row>
    <row r="30" spans="1:38" ht="12.75" customHeight="1">
      <c r="A30" s="140"/>
      <c r="B30" s="140"/>
      <c r="C30" s="140"/>
      <c r="D30" s="141"/>
      <c r="E30" s="148"/>
      <c r="F30" s="148"/>
      <c r="G30" s="140"/>
      <c r="H30" s="153"/>
      <c r="I30" s="150"/>
      <c r="J30" s="140"/>
      <c r="K30" s="140"/>
      <c r="L30" s="140"/>
      <c r="M30" s="141"/>
      <c r="N30" s="148"/>
      <c r="O30" s="148"/>
      <c r="P30" s="140"/>
      <c r="Q30" s="153"/>
      <c r="R30" s="150"/>
      <c r="S30" s="348"/>
      <c r="T30" s="353"/>
      <c r="U30" s="354"/>
      <c r="V30" s="360"/>
      <c r="W30" s="173"/>
      <c r="X30" s="451"/>
      <c r="Y30" s="452"/>
      <c r="Z30" s="173"/>
      <c r="AA30" s="7"/>
      <c r="AB30" s="218" t="str">
        <f>VLOOKUP(AJ4,'TOTAL - LCB'!$A$18:$AE$1851,30,FALSE)</f>
        <v>NANSHA</v>
      </c>
      <c r="AC30" s="126" t="s">
        <v>813</v>
      </c>
      <c r="AD30" s="238"/>
      <c r="AE30" s="126" t="str">
        <f>VLOOKUP(AJ4,'TOTAL - LCB'!$A$18:$AE$1851,30,FALSE)</f>
        <v>NANSHA</v>
      </c>
      <c r="AF30" s="126" t="s">
        <v>813</v>
      </c>
      <c r="AG30" s="126"/>
      <c r="AH30" s="126"/>
      <c r="AI30" s="126"/>
      <c r="AJ30" s="127"/>
      <c r="AK30" s="126"/>
      <c r="AL30" s="219"/>
    </row>
    <row r="31" spans="1:38" ht="12.75" customHeight="1">
      <c r="A31" s="140"/>
      <c r="B31" s="146"/>
      <c r="C31" s="145"/>
      <c r="D31" s="147"/>
      <c r="E31" s="175" t="s">
        <v>871</v>
      </c>
      <c r="F31" s="197" t="str">
        <f>VLOOKUP(G8,'TOTAL - LCB'!$A$18:$AE$1851,18,FALSE)</f>
        <v>PLASTIC BASKETS</v>
      </c>
      <c r="G31" s="149"/>
      <c r="H31" s="146"/>
      <c r="I31" s="7"/>
      <c r="J31" s="140"/>
      <c r="K31" s="146"/>
      <c r="L31" s="145"/>
      <c r="M31" s="147"/>
      <c r="N31" s="175" t="s">
        <v>871</v>
      </c>
      <c r="O31" s="197" t="str">
        <f>VLOOKUP(P8,'TOTAL - LCB'!$A$18:$AE$1851,18,FALSE)</f>
        <v>PLASTIC BASKETS</v>
      </c>
      <c r="P31" s="149"/>
      <c r="Q31" s="146"/>
      <c r="R31" s="7"/>
      <c r="S31" s="348"/>
      <c r="T31" s="353"/>
      <c r="U31" s="354"/>
      <c r="V31" s="360"/>
      <c r="W31" s="173"/>
      <c r="X31" s="451"/>
      <c r="Y31" s="452"/>
      <c r="Z31" s="173"/>
      <c r="AA31" s="7"/>
      <c r="AB31" s="216" t="s">
        <v>814</v>
      </c>
      <c r="AC31" s="204"/>
      <c r="AD31" s="204"/>
      <c r="AE31" s="154" t="s">
        <v>815</v>
      </c>
      <c r="AF31" s="204"/>
      <c r="AG31" s="204"/>
      <c r="AH31" s="215" t="s">
        <v>816</v>
      </c>
      <c r="AI31" s="215"/>
      <c r="AJ31" s="215"/>
      <c r="AK31" s="154" t="s">
        <v>817</v>
      </c>
      <c r="AL31" s="220"/>
    </row>
    <row r="32" spans="1:38" ht="12.75" customHeight="1">
      <c r="A32" s="140"/>
      <c r="B32" s="140"/>
      <c r="C32" s="140"/>
      <c r="D32" s="141"/>
      <c r="E32" s="148">
        <f>VLOOKUP(G8,'TOTAL - LCB'!$A$18:$AE$1851,16,FALSE)</f>
        <v>7</v>
      </c>
      <c r="F32" s="148">
        <f>VLOOKUP(G8,'TOTAL - LCB'!$A$18:$AE$1851,15,FALSE)</f>
        <v>8.5</v>
      </c>
      <c r="G32" s="140"/>
      <c r="H32" s="140"/>
      <c r="I32" s="7"/>
      <c r="J32" s="140"/>
      <c r="K32" s="140"/>
      <c r="L32" s="140"/>
      <c r="M32" s="141"/>
      <c r="N32" s="148">
        <f>VLOOKUP(P8,'TOTAL - LCB'!$A$18:$AE$1851,16,FALSE)</f>
        <v>7</v>
      </c>
      <c r="O32" s="148">
        <f>VLOOKUP(P8,'TOTAL - LCB'!$A$18:$AE$1851,15,FALSE)</f>
        <v>8.5</v>
      </c>
      <c r="P32" s="140"/>
      <c r="Q32" s="140"/>
      <c r="R32" s="7"/>
      <c r="S32" s="348"/>
      <c r="T32" s="353"/>
      <c r="U32" s="354"/>
      <c r="V32" s="360"/>
      <c r="W32" s="173"/>
      <c r="X32" s="451"/>
      <c r="Y32" s="452"/>
      <c r="Z32" s="173"/>
      <c r="AA32" s="7"/>
      <c r="AB32" s="208"/>
      <c r="AC32" s="221"/>
      <c r="AD32" s="204"/>
      <c r="AE32" s="204" t="s">
        <v>818</v>
      </c>
      <c r="AF32" s="215"/>
      <c r="AG32" s="204"/>
      <c r="AH32" s="204" t="s">
        <v>819</v>
      </c>
      <c r="AI32" s="221"/>
      <c r="AJ32" s="221"/>
      <c r="AK32" s="222">
        <f>SUM(O38)</f>
        <v>21867</v>
      </c>
      <c r="AL32" s="206" t="s">
        <v>820</v>
      </c>
    </row>
    <row r="33" spans="1:38" ht="12.75" customHeight="1">
      <c r="A33" s="145"/>
      <c r="B33" s="146"/>
      <c r="C33" s="145"/>
      <c r="D33" s="145"/>
      <c r="E33" s="148"/>
      <c r="F33" s="148"/>
      <c r="G33" s="149"/>
      <c r="H33" s="148"/>
      <c r="I33" s="7"/>
      <c r="J33" s="140"/>
      <c r="K33" s="140"/>
      <c r="L33" s="140"/>
      <c r="M33" s="141"/>
      <c r="N33" s="140"/>
      <c r="O33" s="140"/>
      <c r="P33" s="140"/>
      <c r="Q33" s="140"/>
      <c r="R33" s="7"/>
      <c r="S33" s="348"/>
      <c r="T33" s="353"/>
      <c r="U33" s="354"/>
      <c r="V33" s="360"/>
      <c r="W33" s="173"/>
      <c r="X33" s="451"/>
      <c r="Y33" s="452"/>
      <c r="Z33" s="173"/>
      <c r="AA33" s="7"/>
      <c r="AB33" s="208" t="str">
        <f>VLOOKUP(AJ4,'TOTAL - LCB'!$A$18:$AE$1851,10,FALSE)</f>
        <v>SEGU9562477</v>
      </c>
      <c r="AC33" s="204"/>
      <c r="AD33" s="204"/>
      <c r="AE33" s="204"/>
      <c r="AF33" s="204"/>
      <c r="AG33" s="204"/>
      <c r="AH33" s="204" t="s">
        <v>821</v>
      </c>
      <c r="AI33" s="221"/>
      <c r="AJ33" s="221"/>
      <c r="AK33" s="221"/>
      <c r="AL33" s="206"/>
    </row>
    <row r="34" spans="1:38" ht="12.75" customHeight="1">
      <c r="A34" s="140"/>
      <c r="B34" s="146">
        <v>432</v>
      </c>
      <c r="C34" s="145" t="s">
        <v>135</v>
      </c>
      <c r="D34" s="145" t="s">
        <v>29</v>
      </c>
      <c r="E34" s="148">
        <f>SUM(B34*E36)</f>
        <v>6264</v>
      </c>
      <c r="F34" s="148">
        <f>SUM(B34*F36)</f>
        <v>7128</v>
      </c>
      <c r="G34" s="149">
        <f>SUM(G29)</f>
        <v>1.8</v>
      </c>
      <c r="H34" s="153">
        <f>SUM(E34*G34)</f>
        <v>11275.2</v>
      </c>
      <c r="I34" s="7"/>
      <c r="J34" s="140"/>
      <c r="K34" s="146">
        <f>SUM(B34)</f>
        <v>432</v>
      </c>
      <c r="L34" s="145" t="s">
        <v>135</v>
      </c>
      <c r="M34" s="145" t="s">
        <v>29</v>
      </c>
      <c r="N34" s="148">
        <f>SUM(K34*N36)</f>
        <v>6264</v>
      </c>
      <c r="O34" s="148">
        <f>SUM(K34*O36)</f>
        <v>7128</v>
      </c>
      <c r="P34" s="149">
        <f>SUM(P29)</f>
        <v>2</v>
      </c>
      <c r="Q34" s="153">
        <f>SUM(N34*P34)</f>
        <v>12528</v>
      </c>
      <c r="R34" s="7"/>
      <c r="S34" s="348"/>
      <c r="T34" s="353"/>
      <c r="U34" s="354"/>
      <c r="V34" s="360"/>
      <c r="W34" s="173"/>
      <c r="X34" s="451"/>
      <c r="Y34" s="452"/>
      <c r="Z34" s="173"/>
      <c r="AA34" s="7"/>
      <c r="AB34" s="208" t="s">
        <v>822</v>
      </c>
      <c r="AC34" s="204" t="str">
        <f>VLOOKUP(AJ4,'TOTAL - LCB'!$A$18:$AE$1851,11,FALSE)</f>
        <v>C669187</v>
      </c>
      <c r="AD34" s="204"/>
      <c r="AE34" s="221"/>
      <c r="AF34" s="204"/>
      <c r="AG34" s="204"/>
      <c r="AH34" s="204" t="s">
        <v>823</v>
      </c>
      <c r="AI34" s="221"/>
      <c r="AJ34" s="221"/>
      <c r="AK34" s="221"/>
      <c r="AL34" s="206"/>
    </row>
    <row r="35" spans="1:38" ht="12.75" customHeight="1">
      <c r="A35" s="140"/>
      <c r="B35" s="146"/>
      <c r="C35" s="145"/>
      <c r="D35" s="147"/>
      <c r="E35" s="175" t="s">
        <v>871</v>
      </c>
      <c r="F35" s="197" t="s">
        <v>135</v>
      </c>
      <c r="G35" s="149"/>
      <c r="H35" s="146"/>
      <c r="I35" s="7"/>
      <c r="J35" s="140"/>
      <c r="K35" s="146"/>
      <c r="L35" s="145"/>
      <c r="M35" s="147"/>
      <c r="N35" s="175" t="s">
        <v>871</v>
      </c>
      <c r="O35" s="197" t="s">
        <v>135</v>
      </c>
      <c r="P35" s="149"/>
      <c r="Q35" s="146"/>
      <c r="R35" s="7"/>
      <c r="S35" s="349"/>
      <c r="T35" s="351"/>
      <c r="U35" s="352"/>
      <c r="V35" s="449"/>
      <c r="W35" s="312"/>
      <c r="X35" s="453"/>
      <c r="Y35" s="454"/>
      <c r="Z35" s="312"/>
      <c r="AA35" s="7"/>
      <c r="AB35" s="208"/>
      <c r="AC35" s="221"/>
      <c r="AD35" s="204"/>
      <c r="AE35" s="221"/>
      <c r="AF35" s="204"/>
      <c r="AG35" s="204"/>
      <c r="AH35" s="204"/>
      <c r="AI35" s="221"/>
      <c r="AJ35" s="204"/>
      <c r="AK35" s="221"/>
      <c r="AL35" s="206"/>
    </row>
    <row r="36" spans="1:38" ht="12.75" customHeight="1">
      <c r="A36" s="140"/>
      <c r="B36" s="140"/>
      <c r="C36" s="140"/>
      <c r="D36" s="141"/>
      <c r="E36" s="148">
        <v>14.5</v>
      </c>
      <c r="F36" s="148">
        <v>16.5</v>
      </c>
      <c r="G36" s="140"/>
      <c r="H36" s="140"/>
      <c r="I36" s="7"/>
      <c r="J36" s="140"/>
      <c r="K36" s="140"/>
      <c r="L36" s="140"/>
      <c r="M36" s="141"/>
      <c r="N36" s="148">
        <f>SUM(E36)</f>
        <v>14.5</v>
      </c>
      <c r="O36" s="148">
        <f>SUM(F36)</f>
        <v>16.5</v>
      </c>
      <c r="P36" s="140"/>
      <c r="Q36" s="140"/>
      <c r="R36" s="7"/>
      <c r="S36" s="819" t="s">
        <v>824</v>
      </c>
      <c r="T36" s="820"/>
      <c r="U36" s="821"/>
      <c r="V36" s="155">
        <f>SUM(V26:V35)</f>
        <v>2166</v>
      </c>
      <c r="W36" s="156">
        <f>SUM(W26:W35)</f>
        <v>18402</v>
      </c>
      <c r="X36" s="822"/>
      <c r="Y36" s="821"/>
      <c r="Z36" s="156">
        <f>SUM(Z26:Z35)</f>
        <v>36804</v>
      </c>
      <c r="AA36" s="157"/>
      <c r="AB36" s="223"/>
      <c r="AC36" s="204"/>
      <c r="AD36" s="204"/>
      <c r="AE36" s="221"/>
      <c r="AF36" s="204"/>
      <c r="AG36" s="204"/>
      <c r="AH36" s="204" t="str">
        <f>VLOOKUP(AJ4,'TOTAL - LCB'!$A$18:$AE$1851,8,FALSE)</f>
        <v>FRESH MANGOSTEEN</v>
      </c>
      <c r="AI36" s="221"/>
      <c r="AJ36" s="221"/>
      <c r="AK36" s="221"/>
      <c r="AL36" s="224"/>
    </row>
    <row r="37" spans="1:38" ht="12.75" customHeight="1">
      <c r="A37" s="140"/>
      <c r="B37" s="140"/>
      <c r="C37" s="140"/>
      <c r="D37" s="141"/>
      <c r="E37" s="140"/>
      <c r="F37" s="140"/>
      <c r="G37" s="140"/>
      <c r="H37" s="140"/>
      <c r="I37" s="28"/>
      <c r="J37" s="140"/>
      <c r="K37" s="140"/>
      <c r="L37" s="140"/>
      <c r="M37" s="141"/>
      <c r="N37" s="140"/>
      <c r="O37" s="140"/>
      <c r="P37" s="140"/>
      <c r="Q37" s="140"/>
      <c r="R37" s="28"/>
      <c r="S37" s="7"/>
      <c r="T37" s="7"/>
      <c r="U37" s="7"/>
      <c r="V37" s="7"/>
      <c r="W37" s="7"/>
      <c r="X37" s="7"/>
      <c r="Y37" s="7"/>
      <c r="Z37" s="7"/>
      <c r="AA37" s="7"/>
      <c r="AB37" s="216" t="s">
        <v>825</v>
      </c>
      <c r="AC37" s="221"/>
      <c r="AD37" s="204"/>
      <c r="AE37" s="221"/>
      <c r="AF37" s="204"/>
      <c r="AG37" s="204"/>
      <c r="AH37" s="225">
        <f>VLOOKUP(AJ4,'TOTAL - LCB'!$A$18:$AE$1851,17,FALSE)</f>
        <v>1734</v>
      </c>
      <c r="AI37" s="204" t="str">
        <f>VLOOKUP(AJ4,'TOTAL - LCB'!$A$18:$AE$1851,18,FALSE)</f>
        <v>PLASTIC BASKETS</v>
      </c>
      <c r="AJ37" s="204"/>
      <c r="AK37" s="204"/>
      <c r="AL37" s="206"/>
    </row>
    <row r="38" spans="1:38" ht="12.75" customHeight="1">
      <c r="A38" s="158" t="s">
        <v>824</v>
      </c>
      <c r="B38" s="159">
        <f>SUM(B28:B37)</f>
        <v>2166</v>
      </c>
      <c r="C38" s="160" t="str">
        <f t="shared" ref="C38" si="0">C29</f>
        <v>PLASTIC BASKETS</v>
      </c>
      <c r="D38" s="161"/>
      <c r="E38" s="156">
        <f>SUM(E29,E34)</f>
        <v>18402</v>
      </c>
      <c r="F38" s="156">
        <f>SUM(F29,F34)</f>
        <v>21867</v>
      </c>
      <c r="G38" s="160"/>
      <c r="H38" s="156">
        <f>SUM(H28:H37)</f>
        <v>33123.600000000006</v>
      </c>
      <c r="I38" s="7"/>
      <c r="J38" s="158" t="s">
        <v>824</v>
      </c>
      <c r="K38" s="159">
        <f>SUM(K28:K37)</f>
        <v>2166</v>
      </c>
      <c r="L38" s="160" t="str">
        <f t="shared" ref="L38" si="1">L29</f>
        <v>PLASTIC BASKETS</v>
      </c>
      <c r="M38" s="161"/>
      <c r="N38" s="156">
        <f>SUM(N29,N34)</f>
        <v>18402</v>
      </c>
      <c r="O38" s="156">
        <f>SUM(O29,O34)</f>
        <v>21867</v>
      </c>
      <c r="P38" s="160"/>
      <c r="Q38" s="156">
        <f>SUM(Q28:Q37)</f>
        <v>36804</v>
      </c>
      <c r="R38" s="7"/>
      <c r="S38" s="7" t="s">
        <v>826</v>
      </c>
      <c r="T38" s="7"/>
      <c r="U38" s="7"/>
      <c r="V38" s="32"/>
      <c r="W38" s="7"/>
      <c r="X38" s="7"/>
      <c r="Y38" s="7"/>
      <c r="Z38" s="7"/>
      <c r="AA38" s="7"/>
      <c r="AB38" s="208"/>
      <c r="AC38" s="204"/>
      <c r="AD38" s="204"/>
      <c r="AE38" s="221"/>
      <c r="AF38" s="204"/>
      <c r="AG38" s="204"/>
      <c r="AH38" s="458">
        <f>SUM(B34)</f>
        <v>432</v>
      </c>
      <c r="AI38" s="459" t="s">
        <v>135</v>
      </c>
      <c r="AJ38" s="204"/>
      <c r="AK38" s="204"/>
      <c r="AL38" s="206"/>
    </row>
    <row r="39" spans="1:38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 t="s">
        <v>827</v>
      </c>
      <c r="T39" s="7"/>
      <c r="U39" s="7" t="str">
        <f>VLOOKUP(Y8,'TOTAL - LCB'!$A$18:$AE$1851,31,FALSE)</f>
        <v>ASIATIC REUNION V.2513N</v>
      </c>
      <c r="V39" s="7"/>
      <c r="W39" s="7"/>
      <c r="X39" s="7"/>
      <c r="Y39" s="7"/>
      <c r="Z39" s="7"/>
      <c r="AA39" s="7"/>
      <c r="AB39" s="208" t="str">
        <f>VLOOKUP(AJ4,'TOTAL - LCB'!$A$18:$AE$1851,7,FALSE)</f>
        <v>SEGU9562477</v>
      </c>
      <c r="AC39" s="221"/>
      <c r="AD39" s="204"/>
      <c r="AE39" s="221"/>
      <c r="AF39" s="204"/>
      <c r="AG39" s="204"/>
      <c r="AH39" s="204"/>
      <c r="AI39" s="204"/>
      <c r="AJ39" s="204"/>
      <c r="AK39" s="204"/>
      <c r="AL39" s="206"/>
    </row>
    <row r="40" spans="1:38" ht="12.75" customHeight="1">
      <c r="A40" s="7"/>
      <c r="B40" s="7"/>
      <c r="C40" s="7"/>
      <c r="D40" s="32"/>
      <c r="E40" s="7"/>
      <c r="F40" s="7"/>
      <c r="G40" s="7"/>
      <c r="H40" s="7"/>
      <c r="I40" s="7"/>
      <c r="J40" s="7"/>
      <c r="K40" s="7"/>
      <c r="L40" s="7"/>
      <c r="M40" s="32"/>
      <c r="N40" s="7"/>
      <c r="O40" s="7"/>
      <c r="P40" s="7"/>
      <c r="Q40" s="7"/>
      <c r="R40" s="7"/>
      <c r="S40" s="123" t="s">
        <v>828</v>
      </c>
      <c r="T40" s="7"/>
      <c r="U40" s="7" t="str">
        <f>VLOOKUP(Y8,'TOTAL - LCB'!$A$18:$AE$1851,30,FALSE)</f>
        <v>NANSHA</v>
      </c>
      <c r="V40" s="32"/>
      <c r="W40" s="7"/>
      <c r="X40" s="7"/>
      <c r="Y40" s="7"/>
      <c r="Z40" s="7"/>
      <c r="AA40" s="7"/>
      <c r="AB40" s="208"/>
      <c r="AC40" s="221"/>
      <c r="AD40" s="204"/>
      <c r="AE40" s="221"/>
      <c r="AF40" s="204"/>
      <c r="AG40" s="204"/>
      <c r="AH40" s="204" t="s">
        <v>829</v>
      </c>
      <c r="AI40" s="195">
        <f>VLOOKUP(AJ4,'TOTAL - LCB'!$A$18:$AE$1851,19,FALSE)</f>
        <v>10</v>
      </c>
      <c r="AJ40" s="226" t="s">
        <v>830</v>
      </c>
      <c r="AK40" s="204"/>
      <c r="AL40" s="206"/>
    </row>
    <row r="41" spans="1:38" ht="12.75" customHeight="1">
      <c r="A41" s="7" t="s">
        <v>827</v>
      </c>
      <c r="B41" s="7"/>
      <c r="C41" s="7" t="str">
        <f>VLOOKUP(G8,'TOTAL - LCB'!$A$18:$AE$1851,31,FALSE)</f>
        <v>ASIATIC REUNION V.2513N</v>
      </c>
      <c r="D41" s="7"/>
      <c r="E41" s="41" t="s">
        <v>831</v>
      </c>
      <c r="F41" s="112">
        <f>VLOOKUP(G8,'TOTAL - LCB'!$A$18:$AE$1851,28,FALSE)</f>
        <v>45828</v>
      </c>
      <c r="G41" s="7"/>
      <c r="H41" s="7"/>
      <c r="I41" s="7"/>
      <c r="J41" s="7" t="s">
        <v>827</v>
      </c>
      <c r="K41" s="7"/>
      <c r="L41" s="7" t="str">
        <f>VLOOKUP(P8,'TOTAL - LCB'!$A$18:$AE$1851,31,FALSE)</f>
        <v>ASIATIC REUNION V.2513N</v>
      </c>
      <c r="M41" s="41"/>
      <c r="N41" s="41"/>
      <c r="O41" s="112"/>
      <c r="P41" s="7"/>
      <c r="Q41" s="7"/>
      <c r="R41" s="7"/>
      <c r="S41" s="32" t="s">
        <v>832</v>
      </c>
      <c r="T41" s="7"/>
      <c r="U41" s="7"/>
      <c r="V41" s="7" t="str">
        <f>VLOOKUP(Y8,'TOTAL - LCB'!$A$18:$AE$1851,30,FALSE)</f>
        <v>NANSHA</v>
      </c>
      <c r="W41" s="7"/>
      <c r="X41" s="7"/>
      <c r="Y41" s="7"/>
      <c r="Z41" s="7"/>
      <c r="AA41" s="7"/>
      <c r="AB41" s="208"/>
      <c r="AC41" s="457"/>
      <c r="AD41" s="204"/>
      <c r="AE41" s="221"/>
      <c r="AF41" s="204"/>
      <c r="AG41" s="221"/>
      <c r="AH41" s="204" t="s">
        <v>833</v>
      </c>
      <c r="AI41" s="227" t="str">
        <f>VLOOKUP(AJ4,'TOTAL - LCB'!$A$18:$AE$1851,20,FALSE)</f>
        <v>5%</v>
      </c>
      <c r="AJ41" s="204"/>
      <c r="AK41" s="204"/>
      <c r="AL41" s="206"/>
    </row>
    <row r="42" spans="1:38" ht="12.75" customHeight="1">
      <c r="A42" s="123" t="s">
        <v>834</v>
      </c>
      <c r="B42" s="7"/>
      <c r="C42" s="7" t="s">
        <v>804</v>
      </c>
      <c r="D42" s="32"/>
      <c r="E42" s="7"/>
      <c r="F42" s="7"/>
      <c r="G42" s="7"/>
      <c r="H42" s="7"/>
      <c r="I42" s="7"/>
      <c r="J42" s="123" t="s">
        <v>828</v>
      </c>
      <c r="K42" s="7"/>
      <c r="L42" s="7" t="str">
        <f>VLOOKUP(P8,'TOTAL - LCB'!$A$18:$AE$1851,30,FALSE)</f>
        <v>NANSHA</v>
      </c>
      <c r="M42" s="32"/>
      <c r="N42" s="7"/>
      <c r="O42" s="7"/>
      <c r="P42" s="7"/>
      <c r="Q42" s="7"/>
      <c r="R42" s="7"/>
      <c r="S42" s="7" t="s">
        <v>835</v>
      </c>
      <c r="T42" s="7"/>
      <c r="U42" s="7" t="str">
        <f>VLOOKUP(Y8,'TOTAL - LCB'!$A$18:$AE$1851,10,FALSE)</f>
        <v>SEGU9562477</v>
      </c>
      <c r="V42" s="7"/>
      <c r="W42" s="7"/>
      <c r="X42" s="7"/>
      <c r="Y42" s="7"/>
      <c r="Z42" s="7"/>
      <c r="AA42" s="7"/>
      <c r="AB42" s="208"/>
      <c r="AC42" s="221"/>
      <c r="AD42" s="204"/>
      <c r="AE42" s="221"/>
      <c r="AF42" s="204"/>
      <c r="AG42" s="221"/>
      <c r="AH42" s="204"/>
      <c r="AI42" s="221"/>
      <c r="AJ42" s="204"/>
      <c r="AK42" s="204"/>
      <c r="AL42" s="206"/>
    </row>
    <row r="43" spans="1:38" ht="12.75" customHeight="1">
      <c r="A43" s="32" t="s">
        <v>832</v>
      </c>
      <c r="B43" s="7"/>
      <c r="C43" s="7"/>
      <c r="D43" s="7" t="str">
        <f>VLOOKUP(G8,'TOTAL - LCB'!$A$18:$AE$1851,30,FALSE)</f>
        <v>NANSHA</v>
      </c>
      <c r="E43" s="7"/>
      <c r="F43" s="7"/>
      <c r="G43" s="7"/>
      <c r="H43" s="7"/>
      <c r="I43" s="7"/>
      <c r="J43" s="32" t="s">
        <v>832</v>
      </c>
      <c r="K43" s="7"/>
      <c r="L43" s="7"/>
      <c r="M43" s="7" t="str">
        <f>VLOOKUP(P8,'TOTAL - LCB'!$A$18:$AE$1851,30,FALSE)</f>
        <v>NANSHA</v>
      </c>
      <c r="N43" s="7"/>
      <c r="O43" s="7"/>
      <c r="P43" s="7"/>
      <c r="Q43" s="7"/>
      <c r="R43" s="7"/>
      <c r="S43" s="7"/>
      <c r="T43" s="7"/>
      <c r="U43" s="162"/>
      <c r="V43" s="7"/>
      <c r="W43" s="7"/>
      <c r="X43" s="7"/>
      <c r="Y43" s="7"/>
      <c r="Z43" s="7"/>
      <c r="AA43" s="7"/>
      <c r="AB43" s="208"/>
      <c r="AC43" s="221"/>
      <c r="AD43" s="204"/>
      <c r="AE43" s="221"/>
      <c r="AF43" s="204"/>
      <c r="AG43" s="221"/>
      <c r="AH43" s="204"/>
      <c r="AI43" s="221"/>
      <c r="AJ43" s="204"/>
      <c r="AK43" s="204"/>
      <c r="AL43" s="206"/>
    </row>
    <row r="44" spans="1:38" ht="12.75" customHeight="1">
      <c r="A44" s="7" t="s">
        <v>835</v>
      </c>
      <c r="B44" s="7"/>
      <c r="C44" s="7" t="str">
        <f>VLOOKUP(G8,'TOTAL - LCB'!$A$18:$AE$1851,10,FALSE)</f>
        <v>SEGU9562477</v>
      </c>
      <c r="D44" s="7"/>
      <c r="E44" s="7"/>
      <c r="F44" s="7"/>
      <c r="G44" s="7"/>
      <c r="H44" s="7"/>
      <c r="I44" s="7"/>
      <c r="J44" s="7" t="s">
        <v>835</v>
      </c>
      <c r="K44" s="7"/>
      <c r="L44" s="7" t="str">
        <f>VLOOKUP(P8,'TOTAL - LCB'!$A$18:$AE$1851,10,FALSE)</f>
        <v>SEGU9562477</v>
      </c>
      <c r="M44" s="7"/>
      <c r="N44" s="7"/>
      <c r="O44" s="7"/>
      <c r="P44" s="7"/>
      <c r="Q44" s="7"/>
      <c r="R44" s="7"/>
      <c r="S44" s="7" t="s">
        <v>824</v>
      </c>
      <c r="T44" s="7"/>
      <c r="U44" s="42">
        <f>SUM(V36)</f>
        <v>2166</v>
      </c>
      <c r="V44" s="7" t="str">
        <f>VLOOKUP(G8,'TOTAL - LCB'!$A$18:$AE$1851,18,FALSE)</f>
        <v>PLASTIC BASKETS</v>
      </c>
      <c r="W44" s="7"/>
      <c r="X44" s="7"/>
      <c r="Y44" s="7"/>
      <c r="Z44" s="7"/>
      <c r="AA44" s="7"/>
      <c r="AB44" s="208"/>
      <c r="AC44" s="221"/>
      <c r="AD44" s="204"/>
      <c r="AE44" s="221"/>
      <c r="AF44" s="204"/>
      <c r="AG44" s="221"/>
      <c r="AH44" s="204" t="s">
        <v>836</v>
      </c>
      <c r="AI44" s="221"/>
      <c r="AJ44" s="204"/>
      <c r="AK44" s="204"/>
      <c r="AL44" s="206"/>
    </row>
    <row r="45" spans="1:38" ht="12.75" customHeight="1">
      <c r="A45" s="7"/>
      <c r="B45" s="7"/>
      <c r="C45" s="162"/>
      <c r="D45" s="7"/>
      <c r="E45" s="7"/>
      <c r="F45" s="7"/>
      <c r="G45" s="7"/>
      <c r="H45" s="7"/>
      <c r="I45" s="7"/>
      <c r="J45" s="7"/>
      <c r="K45" s="7"/>
      <c r="L45" s="162"/>
      <c r="M45" s="7"/>
      <c r="N45" s="7"/>
      <c r="O45" s="7"/>
      <c r="P45" s="7"/>
      <c r="Q45" s="7"/>
      <c r="R45" s="7"/>
      <c r="S45" s="7" t="s">
        <v>837</v>
      </c>
      <c r="T45" s="7"/>
      <c r="U45" s="39">
        <f>SUM(E38)</f>
        <v>18402</v>
      </c>
      <c r="V45" s="7" t="s">
        <v>838</v>
      </c>
      <c r="W45" s="7"/>
      <c r="X45" s="7"/>
      <c r="Y45" s="7"/>
      <c r="Z45" s="7"/>
      <c r="AA45" s="7"/>
      <c r="AB45" s="208"/>
      <c r="AC45" s="221"/>
      <c r="AD45" s="204"/>
      <c r="AE45" s="221"/>
      <c r="AF45" s="204"/>
      <c r="AG45" s="221"/>
      <c r="AH45" s="204" t="s">
        <v>839</v>
      </c>
      <c r="AI45" s="221"/>
      <c r="AJ45" s="204"/>
      <c r="AK45" s="204"/>
      <c r="AL45" s="206"/>
    </row>
    <row r="46" spans="1:38" ht="12.75" customHeight="1">
      <c r="A46" s="7" t="s">
        <v>824</v>
      </c>
      <c r="B46" s="7"/>
      <c r="C46" s="42">
        <f>SUM(B38)</f>
        <v>2166</v>
      </c>
      <c r="D46" s="7" t="str">
        <f>VLOOKUP(G8,'TOTAL - LCB'!$A$18:$AE$1851,18,FALSE)</f>
        <v>PLASTIC BASKETS</v>
      </c>
      <c r="E46" s="7"/>
      <c r="F46" s="7"/>
      <c r="G46" s="7"/>
      <c r="H46" s="7"/>
      <c r="I46" s="7"/>
      <c r="J46" s="7" t="s">
        <v>824</v>
      </c>
      <c r="K46" s="7"/>
      <c r="L46" s="42">
        <f>SUM(K38)</f>
        <v>2166</v>
      </c>
      <c r="M46" s="7" t="str">
        <f>VLOOKUP(G8,'TOTAL - LCB'!$A$18:$AE$1851,18,FALSE)</f>
        <v>PLASTIC BASKETS</v>
      </c>
      <c r="N46" s="7"/>
      <c r="O46" s="7"/>
      <c r="P46" s="7"/>
      <c r="Q46" s="7"/>
      <c r="R46" s="7"/>
      <c r="S46" s="7" t="s">
        <v>840</v>
      </c>
      <c r="T46" s="7"/>
      <c r="U46" s="39">
        <f>SUM(F38)</f>
        <v>21867</v>
      </c>
      <c r="V46" s="7" t="s">
        <v>838</v>
      </c>
      <c r="W46" s="7"/>
      <c r="X46" s="7"/>
      <c r="Y46" s="7"/>
      <c r="Z46" s="7"/>
      <c r="AA46" s="7"/>
      <c r="AB46" s="208"/>
      <c r="AC46" s="221"/>
      <c r="AD46" s="204"/>
      <c r="AE46" s="221"/>
      <c r="AF46" s="204"/>
      <c r="AG46" s="221"/>
      <c r="AH46" s="204" t="s">
        <v>841</v>
      </c>
      <c r="AI46" s="221"/>
      <c r="AJ46" s="204"/>
      <c r="AK46" s="204"/>
      <c r="AL46" s="206"/>
    </row>
    <row r="47" spans="1:38" ht="12.75" customHeight="1">
      <c r="A47" s="7" t="s">
        <v>837</v>
      </c>
      <c r="B47" s="7"/>
      <c r="C47" s="39">
        <f>SUM(E38)</f>
        <v>18402</v>
      </c>
      <c r="D47" s="7" t="s">
        <v>838</v>
      </c>
      <c r="E47" s="7"/>
      <c r="F47" s="7"/>
      <c r="G47" s="7"/>
      <c r="H47" s="7"/>
      <c r="I47" s="7"/>
      <c r="J47" s="7" t="s">
        <v>837</v>
      </c>
      <c r="K47" s="7"/>
      <c r="L47" s="39">
        <f>SUM(N38)</f>
        <v>18402</v>
      </c>
      <c r="M47" s="7" t="s">
        <v>838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208"/>
      <c r="AC47" s="221"/>
      <c r="AD47" s="204"/>
      <c r="AE47" s="221"/>
      <c r="AF47" s="204"/>
      <c r="AG47" s="221"/>
      <c r="AH47" s="204"/>
      <c r="AI47" s="204"/>
      <c r="AJ47" s="204"/>
      <c r="AK47" s="204"/>
      <c r="AL47" s="206"/>
    </row>
    <row r="48" spans="1:38" ht="12.75" customHeight="1">
      <c r="A48" s="7" t="s">
        <v>840</v>
      </c>
      <c r="B48" s="7"/>
      <c r="C48" s="39">
        <f>SUM(F38)</f>
        <v>21867</v>
      </c>
      <c r="D48" s="7" t="s">
        <v>838</v>
      </c>
      <c r="E48" s="7"/>
      <c r="F48" s="7"/>
      <c r="G48" s="7"/>
      <c r="H48" s="7"/>
      <c r="I48" s="7"/>
      <c r="J48" s="7" t="s">
        <v>840</v>
      </c>
      <c r="K48" s="7"/>
      <c r="L48" s="39">
        <f>SUM(O38)</f>
        <v>21867</v>
      </c>
      <c r="M48" s="7" t="s">
        <v>838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216" t="s">
        <v>842</v>
      </c>
      <c r="AC48" s="221"/>
      <c r="AD48" s="204"/>
      <c r="AE48" s="221"/>
      <c r="AF48" s="204"/>
      <c r="AG48" s="221"/>
      <c r="AH48" s="204"/>
      <c r="AI48" s="204"/>
      <c r="AJ48" s="204"/>
      <c r="AK48" s="204"/>
      <c r="AL48" s="206"/>
    </row>
    <row r="49" spans="1:38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228" t="s">
        <v>843</v>
      </c>
      <c r="AC49" s="163"/>
      <c r="AD49" s="126"/>
      <c r="AE49" s="126"/>
      <c r="AF49" s="126"/>
      <c r="AG49" s="126"/>
      <c r="AH49" s="126"/>
      <c r="AI49" s="204"/>
      <c r="AJ49" s="204"/>
      <c r="AK49" s="204"/>
      <c r="AL49" s="206"/>
    </row>
    <row r="50" spans="1:38" ht="12.75" customHeight="1">
      <c r="A50" s="7" t="s">
        <v>829</v>
      </c>
      <c r="B50" s="30">
        <f>VLOOKUP(G8,'TOTAL - LCB'!$A$18:$AE$1851,19,FALSE)</f>
        <v>10</v>
      </c>
      <c r="C50" s="7" t="s">
        <v>830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216" t="s">
        <v>844</v>
      </c>
      <c r="AC50" s="221"/>
      <c r="AD50" s="204"/>
      <c r="AE50" s="204"/>
      <c r="AF50" s="204"/>
      <c r="AG50" s="204"/>
      <c r="AH50" s="204"/>
      <c r="AI50" s="129"/>
      <c r="AJ50" s="129"/>
      <c r="AK50" s="129"/>
      <c r="AL50" s="229"/>
    </row>
    <row r="51" spans="1:38" ht="12.75" customHeight="1">
      <c r="A51" s="7" t="s">
        <v>833</v>
      </c>
      <c r="B51" s="63" t="str">
        <f>VLOOKUP(G8,'TOTAL - LCB'!$A$18:$AE$1851,20,FALSE)</f>
        <v>5%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230">
        <f>SUM(B38)</f>
        <v>2166</v>
      </c>
      <c r="AC51" s="163" t="str">
        <f>VLOOKUP(AJ4,'TOTAL - LCB'!$A$18:$AE$1851,18,FALSE)</f>
        <v>PLASTIC BASKETS</v>
      </c>
      <c r="AD51" s="126"/>
      <c r="AE51" s="126"/>
      <c r="AF51" s="126"/>
      <c r="AG51" s="126"/>
      <c r="AH51" s="126"/>
      <c r="AI51" s="126"/>
      <c r="AJ51" s="126"/>
      <c r="AK51" s="126"/>
      <c r="AL51" s="219"/>
    </row>
    <row r="52" spans="1:38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216" t="s">
        <v>845</v>
      </c>
      <c r="AC52" s="221"/>
      <c r="AD52" s="204"/>
      <c r="AE52" s="204"/>
      <c r="AF52" s="204"/>
      <c r="AG52" s="204"/>
      <c r="AH52" s="151" t="s">
        <v>846</v>
      </c>
      <c r="AI52" s="129"/>
      <c r="AJ52" s="129"/>
      <c r="AK52" s="129"/>
      <c r="AL52" s="229"/>
    </row>
    <row r="53" spans="1:38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216"/>
      <c r="AC53" s="204"/>
      <c r="AD53" s="204"/>
      <c r="AE53" s="204"/>
      <c r="AF53" s="204"/>
      <c r="AG53" s="204"/>
      <c r="AH53" s="204"/>
      <c r="AI53" s="204"/>
      <c r="AJ53" s="204"/>
      <c r="AK53" s="204"/>
      <c r="AL53" s="206"/>
    </row>
    <row r="54" spans="1:38" ht="12.75" customHeight="1" thickBo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208"/>
      <c r="AC54" s="204"/>
      <c r="AD54" s="204"/>
      <c r="AE54" s="204"/>
      <c r="AF54" s="204"/>
      <c r="AG54" s="204"/>
      <c r="AH54" s="204"/>
      <c r="AI54" s="204"/>
      <c r="AJ54" s="204"/>
      <c r="AK54" s="204"/>
      <c r="AL54" s="206"/>
    </row>
    <row r="55" spans="1:38" ht="12.75" customHeight="1">
      <c r="A55" s="164"/>
      <c r="B55" s="165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823"/>
      <c r="AC55" s="824"/>
      <c r="AD55" s="824"/>
      <c r="AE55" s="824"/>
      <c r="AF55" s="824"/>
      <c r="AG55" s="824"/>
      <c r="AH55" s="204"/>
      <c r="AI55" s="204"/>
      <c r="AJ55" s="204"/>
      <c r="AK55" s="204"/>
      <c r="AL55" s="206"/>
    </row>
    <row r="56" spans="1:38" ht="12.75" customHeight="1">
      <c r="A56" s="166" t="s">
        <v>184</v>
      </c>
      <c r="B56" s="167" t="str">
        <f>VLOOKUP(G8,'TOTAL - LCB'!$A$18:$AE$1851,5,FALSE)</f>
        <v>ล้งไท่หลง(ท่าใหม่)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208"/>
      <c r="AC56" s="204"/>
      <c r="AD56" s="204"/>
      <c r="AE56" s="204"/>
      <c r="AF56" s="204"/>
      <c r="AG56" s="204"/>
      <c r="AH56" s="168" t="s">
        <v>847</v>
      </c>
      <c r="AI56" s="126"/>
      <c r="AJ56" s="126"/>
      <c r="AK56" s="126"/>
      <c r="AL56" s="219"/>
    </row>
    <row r="57" spans="1:38" ht="12.75" customHeight="1" thickBot="1">
      <c r="A57" s="169"/>
      <c r="B57" s="170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231"/>
      <c r="AC57" s="204"/>
      <c r="AD57" s="204"/>
      <c r="AE57" s="204"/>
      <c r="AF57" s="204"/>
      <c r="AG57" s="204"/>
      <c r="AH57" s="129"/>
      <c r="AI57" s="204"/>
      <c r="AJ57" s="204"/>
      <c r="AK57" s="204"/>
      <c r="AL57" s="206"/>
    </row>
    <row r="58" spans="1:38" ht="12.75" customHeight="1" thickBo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232"/>
      <c r="AC58" s="233"/>
      <c r="AD58" s="233"/>
      <c r="AE58" s="233"/>
      <c r="AF58" s="233"/>
      <c r="AG58" s="233"/>
      <c r="AH58" s="233" t="s">
        <v>848</v>
      </c>
      <c r="AI58" s="233"/>
      <c r="AJ58" s="233"/>
      <c r="AK58" s="233"/>
      <c r="AL58" s="234"/>
    </row>
    <row r="59" spans="1:38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</row>
    <row r="60" spans="1:38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</row>
    <row r="61" spans="1:38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</row>
    <row r="62" spans="1:38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</row>
    <row r="63" spans="1:38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</row>
    <row r="64" spans="1:38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</row>
    <row r="65" spans="1:38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</row>
    <row r="66" spans="1:38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</row>
    <row r="67" spans="1:38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</row>
    <row r="68" spans="1:3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</row>
    <row r="69" spans="1:38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</row>
    <row r="70" spans="1:38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</row>
    <row r="71" spans="1:38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</row>
    <row r="72" spans="1:38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</row>
    <row r="73" spans="1:38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</row>
    <row r="74" spans="1:38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</row>
    <row r="75" spans="1:38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</row>
    <row r="76" spans="1:38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</row>
    <row r="77" spans="1:38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</row>
    <row r="78" spans="1:3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</row>
    <row r="79" spans="1:38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</row>
    <row r="80" spans="1:38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</row>
    <row r="81" spans="1:38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</row>
    <row r="82" spans="1:38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</row>
    <row r="83" spans="1:38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</row>
    <row r="84" spans="1:38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</row>
    <row r="85" spans="1:38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</row>
    <row r="86" spans="1:38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</row>
    <row r="87" spans="1:38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</row>
    <row r="88" spans="1:3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</row>
    <row r="89" spans="1:38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</row>
    <row r="90" spans="1:38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</row>
    <row r="91" spans="1:38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</row>
    <row r="92" spans="1:38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</row>
    <row r="93" spans="1:38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</row>
    <row r="94" spans="1:38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</row>
    <row r="95" spans="1:38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</row>
    <row r="96" spans="1:38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</row>
    <row r="97" spans="1:38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</row>
    <row r="98" spans="1:3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</row>
    <row r="99" spans="1:38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</row>
    <row r="100" spans="1:38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</row>
    <row r="101" spans="1:38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</row>
    <row r="102" spans="1:38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</row>
    <row r="103" spans="1:38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</row>
    <row r="104" spans="1:38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</row>
    <row r="105" spans="1:38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</row>
    <row r="106" spans="1:38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</row>
    <row r="107" spans="1:38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</row>
    <row r="108" spans="1:3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</row>
    <row r="109" spans="1:38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</row>
    <row r="110" spans="1:38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</row>
    <row r="111" spans="1:38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</row>
    <row r="112" spans="1:38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</row>
    <row r="113" spans="1:38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</row>
    <row r="115" spans="1:38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</row>
    <row r="116" spans="1:38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</row>
    <row r="117" spans="1:38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</row>
    <row r="118" spans="1:3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</row>
    <row r="119" spans="1:38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</row>
    <row r="120" spans="1:38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</row>
    <row r="121" spans="1:38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</row>
    <row r="122" spans="1:38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</row>
    <row r="123" spans="1:38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</row>
    <row r="124" spans="1:38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</row>
    <row r="125" spans="1:38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</row>
    <row r="126" spans="1:38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</row>
    <row r="127" spans="1:38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</row>
    <row r="128" spans="1:3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</row>
    <row r="129" spans="1:38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</row>
    <row r="130" spans="1:38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</row>
    <row r="131" spans="1:38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</row>
    <row r="132" spans="1:38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</row>
    <row r="133" spans="1:38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</row>
    <row r="134" spans="1:38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</row>
    <row r="135" spans="1:38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</row>
    <row r="136" spans="1:38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</row>
    <row r="137" spans="1:38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</row>
    <row r="138" spans="1: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</row>
    <row r="139" spans="1:38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</row>
    <row r="140" spans="1:38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</row>
    <row r="141" spans="1:38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</row>
    <row r="142" spans="1:38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</row>
    <row r="143" spans="1:38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</row>
    <row r="144" spans="1:38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</row>
    <row r="145" spans="1:38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</row>
    <row r="146" spans="1:38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</row>
    <row r="147" spans="1:38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</row>
    <row r="148" spans="1:3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</row>
    <row r="149" spans="1:38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</row>
    <row r="150" spans="1:38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</row>
    <row r="151" spans="1:38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</row>
    <row r="152" spans="1:38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</row>
    <row r="153" spans="1:38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</row>
    <row r="154" spans="1:38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</row>
    <row r="155" spans="1:38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</row>
    <row r="156" spans="1:38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</row>
    <row r="157" spans="1:38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</row>
    <row r="158" spans="1:3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</row>
    <row r="159" spans="1:38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</row>
    <row r="160" spans="1:38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</row>
    <row r="161" spans="1:38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</row>
    <row r="162" spans="1:38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</row>
    <row r="163" spans="1:38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</row>
    <row r="164" spans="1:38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</row>
    <row r="165" spans="1:38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</row>
    <row r="166" spans="1:38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</row>
    <row r="167" spans="1:38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</row>
    <row r="168" spans="1:3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</row>
    <row r="169" spans="1:38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</row>
    <row r="170" spans="1:38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</row>
    <row r="171" spans="1:38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</row>
    <row r="172" spans="1:38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</row>
    <row r="173" spans="1:38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</row>
    <row r="174" spans="1:38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</row>
    <row r="175" spans="1:38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</row>
    <row r="176" spans="1:38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</row>
    <row r="177" spans="1:38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</row>
    <row r="178" spans="1:3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</row>
    <row r="179" spans="1:38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</row>
    <row r="180" spans="1:38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</row>
    <row r="181" spans="1:38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</row>
    <row r="182" spans="1:38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</row>
    <row r="183" spans="1:38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</row>
    <row r="184" spans="1:38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</row>
    <row r="185" spans="1:38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</row>
    <row r="186" spans="1:38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</row>
    <row r="187" spans="1:38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</row>
    <row r="188" spans="1:3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</row>
    <row r="189" spans="1:38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</row>
    <row r="190" spans="1:38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</row>
    <row r="191" spans="1:38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</row>
    <row r="192" spans="1:38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</row>
    <row r="193" spans="1:38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</row>
    <row r="194" spans="1:38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</row>
    <row r="195" spans="1:38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</row>
    <row r="196" spans="1:38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</row>
    <row r="197" spans="1:38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</row>
    <row r="198" spans="1:3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</row>
    <row r="199" spans="1:38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</row>
    <row r="200" spans="1:38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</row>
    <row r="201" spans="1:38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</row>
    <row r="202" spans="1:38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</row>
    <row r="203" spans="1:38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</row>
    <row r="204" spans="1:38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</row>
    <row r="205" spans="1:38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</row>
    <row r="206" spans="1:38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</row>
    <row r="207" spans="1:38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</row>
    <row r="208" spans="1:3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</row>
    <row r="209" spans="1:38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</row>
    <row r="210" spans="1:38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</row>
    <row r="211" spans="1:38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</row>
    <row r="212" spans="1:38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</row>
    <row r="213" spans="1:38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</row>
    <row r="214" spans="1:38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</row>
    <row r="215" spans="1:38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</row>
    <row r="216" spans="1:38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</row>
    <row r="217" spans="1:38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</row>
    <row r="218" spans="1:3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</row>
    <row r="219" spans="1:38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</row>
    <row r="220" spans="1:38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</row>
    <row r="221" spans="1:38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</row>
    <row r="222" spans="1:38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</row>
    <row r="223" spans="1:38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</row>
    <row r="224" spans="1:38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</row>
    <row r="225" spans="1:38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</row>
    <row r="226" spans="1:38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</row>
    <row r="227" spans="1:38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</row>
    <row r="228" spans="1:3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</row>
    <row r="229" spans="1:38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</row>
    <row r="230" spans="1:38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</row>
    <row r="231" spans="1:38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</row>
    <row r="232" spans="1:38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</row>
    <row r="233" spans="1:38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</row>
    <row r="234" spans="1:38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</row>
    <row r="235" spans="1:38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</row>
    <row r="236" spans="1:38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</row>
    <row r="237" spans="1:38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</row>
    <row r="238" spans="1: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</row>
    <row r="239" spans="1:38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</row>
    <row r="240" spans="1:38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</row>
    <row r="241" spans="1:38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</row>
    <row r="242" spans="1:38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</row>
    <row r="243" spans="1:38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</row>
    <row r="244" spans="1:38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</row>
    <row r="245" spans="1:38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</row>
    <row r="246" spans="1:38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</row>
    <row r="247" spans="1:38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</row>
    <row r="248" spans="1:3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</row>
    <row r="249" spans="1:38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</row>
    <row r="250" spans="1:38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</row>
    <row r="251" spans="1:38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</row>
    <row r="252" spans="1:38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</row>
    <row r="253" spans="1:38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</row>
    <row r="254" spans="1:38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</row>
    <row r="255" spans="1:38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</row>
    <row r="256" spans="1:38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</row>
    <row r="257" spans="1:38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</row>
    <row r="258" spans="1:3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</row>
    <row r="259" spans="1:38" ht="15.75" customHeight="1"/>
    <row r="260" spans="1:38" ht="15.75" customHeight="1"/>
    <row r="261" spans="1:38" ht="15.75" customHeight="1"/>
    <row r="262" spans="1:38" ht="15.75" customHeight="1"/>
    <row r="263" spans="1:38" ht="15.75" customHeight="1"/>
    <row r="264" spans="1:38" ht="15.75" customHeight="1"/>
    <row r="265" spans="1:38" ht="15.75" customHeight="1"/>
    <row r="266" spans="1:38" ht="15.75" customHeight="1"/>
    <row r="267" spans="1:38" ht="15.75" customHeight="1"/>
    <row r="268" spans="1:38" ht="15.75" customHeight="1"/>
    <row r="269" spans="1:38" ht="15.75" customHeight="1"/>
    <row r="270" spans="1:38" ht="15.75" customHeight="1"/>
    <row r="271" spans="1:38" ht="15.75" customHeight="1"/>
    <row r="272" spans="1:38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8">
    <mergeCell ref="S36:U36"/>
    <mergeCell ref="X36:Y36"/>
    <mergeCell ref="AB55:AG55"/>
    <mergeCell ref="T24:U24"/>
    <mergeCell ref="X24:Y25"/>
    <mergeCell ref="T25:U25"/>
    <mergeCell ref="A3:H3"/>
    <mergeCell ref="J3:Q3"/>
    <mergeCell ref="S3:Z3"/>
    <mergeCell ref="A5:H5"/>
    <mergeCell ref="J5:Q5"/>
    <mergeCell ref="S5:Z5"/>
    <mergeCell ref="A1:H1"/>
    <mergeCell ref="J1:Q1"/>
    <mergeCell ref="S1:Z1"/>
    <mergeCell ref="A2:H2"/>
    <mergeCell ref="J2:Q2"/>
    <mergeCell ref="S2:Z2"/>
  </mergeCells>
  <pageMargins left="0.25" right="0.25" top="0.75" bottom="0.75" header="0" footer="0"/>
  <pageSetup paperSize="9" scale="9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E0EE0-6447-4CC2-8674-B80D6E132E9C}">
  <sheetPr codeName="Sheet51"/>
  <dimension ref="A1:AL1001"/>
  <sheetViews>
    <sheetView topLeftCell="A25" zoomScaleNormal="100" workbookViewId="0">
      <selection activeCell="P27" sqref="P27"/>
    </sheetView>
  </sheetViews>
  <sheetFormatPr defaultColWidth="14.42578125" defaultRowHeight="15" customHeight="1"/>
  <cols>
    <col min="1" max="1" width="12.5703125" customWidth="1"/>
    <col min="2" max="2" width="14.28515625" bestFit="1" customWidth="1"/>
    <col min="3" max="3" width="14.7109375" customWidth="1"/>
    <col min="4" max="4" width="17.7109375" bestFit="1" customWidth="1"/>
    <col min="5" max="5" width="10.140625" bestFit="1" customWidth="1"/>
    <col min="6" max="6" width="15.85546875" bestFit="1" customWidth="1"/>
    <col min="7" max="7" width="12.7109375" customWidth="1"/>
    <col min="8" max="8" width="10.140625" bestFit="1" customWidth="1"/>
    <col min="9" max="9" width="0.85546875" customWidth="1"/>
    <col min="10" max="10" width="13.28515625" customWidth="1"/>
    <col min="11" max="11" width="11.140625" customWidth="1"/>
    <col min="12" max="12" width="15.85546875" customWidth="1"/>
    <col min="13" max="13" width="17.7109375" bestFit="1" customWidth="1"/>
    <col min="14" max="15" width="13" customWidth="1"/>
    <col min="16" max="16" width="13.5703125" customWidth="1"/>
    <col min="17" max="17" width="13" customWidth="1"/>
    <col min="18" max="18" width="0.7109375" customWidth="1"/>
    <col min="19" max="19" width="12.42578125" customWidth="1"/>
    <col min="20" max="20" width="6.85546875" customWidth="1"/>
    <col min="21" max="21" width="12.5703125" customWidth="1"/>
    <col min="22" max="22" width="17.5703125" customWidth="1"/>
    <col min="23" max="23" width="17.85546875" customWidth="1"/>
    <col min="24" max="24" width="12" customWidth="1"/>
    <col min="25" max="25" width="12.7109375" bestFit="1" customWidth="1"/>
    <col min="26" max="26" width="13" customWidth="1"/>
    <col min="27" max="27" width="1.28515625" customWidth="1"/>
    <col min="28" max="30" width="9" customWidth="1"/>
    <col min="31" max="31" width="11.7109375" customWidth="1"/>
    <col min="32" max="32" width="9" customWidth="1"/>
    <col min="33" max="33" width="8.28515625" customWidth="1"/>
    <col min="34" max="36" width="10.7109375" customWidth="1"/>
    <col min="37" max="38" width="11.140625" customWidth="1"/>
  </cols>
  <sheetData>
    <row r="1" spans="1:38" ht="12.75" customHeight="1">
      <c r="A1" s="815" t="s">
        <v>1076</v>
      </c>
      <c r="B1" s="816"/>
      <c r="C1" s="816"/>
      <c r="D1" s="816"/>
      <c r="E1" s="816"/>
      <c r="F1" s="816"/>
      <c r="G1" s="816"/>
      <c r="H1" s="816"/>
      <c r="I1" s="119"/>
      <c r="J1" s="815" t="s">
        <v>1076</v>
      </c>
      <c r="K1" s="816"/>
      <c r="L1" s="816"/>
      <c r="M1" s="816"/>
      <c r="N1" s="816"/>
      <c r="O1" s="816"/>
      <c r="P1" s="816"/>
      <c r="Q1" s="816"/>
      <c r="R1" s="119"/>
      <c r="S1" s="815" t="s">
        <v>1076</v>
      </c>
      <c r="T1" s="816"/>
      <c r="U1" s="816"/>
      <c r="V1" s="816"/>
      <c r="W1" s="816"/>
      <c r="X1" s="816"/>
      <c r="Y1" s="816"/>
      <c r="Z1" s="816"/>
      <c r="AA1" s="119"/>
      <c r="AB1" s="198" t="s">
        <v>762</v>
      </c>
      <c r="AC1" s="199"/>
      <c r="AD1" s="199"/>
      <c r="AE1" s="199"/>
      <c r="AF1" s="199"/>
      <c r="AG1" s="200"/>
      <c r="AH1" s="199"/>
      <c r="AI1" s="199"/>
      <c r="AJ1" s="199"/>
      <c r="AK1" s="199"/>
      <c r="AL1" s="201"/>
    </row>
    <row r="2" spans="1:38" ht="12.75" customHeight="1">
      <c r="A2" s="817" t="s">
        <v>1077</v>
      </c>
      <c r="B2" s="816"/>
      <c r="C2" s="816"/>
      <c r="D2" s="816"/>
      <c r="E2" s="816"/>
      <c r="F2" s="816"/>
      <c r="G2" s="816"/>
      <c r="H2" s="816"/>
      <c r="I2" s="70"/>
      <c r="J2" s="817" t="s">
        <v>1077</v>
      </c>
      <c r="K2" s="816"/>
      <c r="L2" s="816"/>
      <c r="M2" s="816"/>
      <c r="N2" s="816"/>
      <c r="O2" s="816"/>
      <c r="P2" s="816"/>
      <c r="Q2" s="816"/>
      <c r="R2" s="70"/>
      <c r="S2" s="817" t="s">
        <v>1077</v>
      </c>
      <c r="T2" s="816"/>
      <c r="U2" s="816"/>
      <c r="V2" s="816"/>
      <c r="W2" s="816"/>
      <c r="X2" s="816"/>
      <c r="Y2" s="816"/>
      <c r="Z2" s="816"/>
      <c r="AA2" s="70"/>
      <c r="AB2" s="202" t="s">
        <v>1076</v>
      </c>
      <c r="AC2" s="203"/>
      <c r="AD2" s="203"/>
      <c r="AE2" s="203"/>
      <c r="AF2" s="203"/>
      <c r="AG2" s="120"/>
      <c r="AH2" s="204"/>
      <c r="AI2" s="205" t="s">
        <v>763</v>
      </c>
      <c r="AJ2" s="204"/>
      <c r="AK2" s="204"/>
      <c r="AL2" s="206"/>
    </row>
    <row r="3" spans="1:38" ht="12.75" customHeight="1">
      <c r="A3" s="817" t="s">
        <v>764</v>
      </c>
      <c r="B3" s="816"/>
      <c r="C3" s="816"/>
      <c r="D3" s="816"/>
      <c r="E3" s="816"/>
      <c r="F3" s="816"/>
      <c r="G3" s="816"/>
      <c r="H3" s="816"/>
      <c r="I3" s="70"/>
      <c r="J3" s="817" t="s">
        <v>764</v>
      </c>
      <c r="K3" s="816"/>
      <c r="L3" s="816"/>
      <c r="M3" s="816"/>
      <c r="N3" s="816"/>
      <c r="O3" s="816"/>
      <c r="P3" s="816"/>
      <c r="Q3" s="816"/>
      <c r="R3" s="70"/>
      <c r="S3" s="817" t="s">
        <v>764</v>
      </c>
      <c r="T3" s="816"/>
      <c r="U3" s="816"/>
      <c r="V3" s="816"/>
      <c r="W3" s="816"/>
      <c r="X3" s="816"/>
      <c r="Y3" s="816"/>
      <c r="Z3" s="816"/>
      <c r="AA3" s="70"/>
      <c r="AB3" s="202" t="s">
        <v>1095</v>
      </c>
      <c r="AC3" s="203"/>
      <c r="AD3" s="203"/>
      <c r="AE3" s="203"/>
      <c r="AF3" s="203"/>
      <c r="AG3" s="120"/>
      <c r="AH3" s="204"/>
      <c r="AI3" s="204" t="s">
        <v>1076</v>
      </c>
      <c r="AJ3" s="204"/>
      <c r="AK3" s="204"/>
      <c r="AL3" s="206"/>
    </row>
    <row r="4" spans="1:38" ht="12.7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202" t="s">
        <v>765</v>
      </c>
      <c r="AC4" s="203"/>
      <c r="AD4" s="203"/>
      <c r="AE4" s="203"/>
      <c r="AF4" s="203"/>
      <c r="AG4" s="120"/>
      <c r="AH4" s="204"/>
      <c r="AI4" s="207" t="s">
        <v>766</v>
      </c>
      <c r="AJ4" s="207" t="str">
        <f>G8</f>
        <v>DYY-LCH25066</v>
      </c>
      <c r="AK4" s="204"/>
      <c r="AL4" s="206"/>
    </row>
    <row r="5" spans="1:38" ht="12.75" customHeight="1">
      <c r="A5" s="818" t="s">
        <v>767</v>
      </c>
      <c r="B5" s="816"/>
      <c r="C5" s="816"/>
      <c r="D5" s="816"/>
      <c r="E5" s="816"/>
      <c r="F5" s="816"/>
      <c r="G5" s="816"/>
      <c r="H5" s="816"/>
      <c r="I5" s="122"/>
      <c r="J5" s="818" t="s">
        <v>767</v>
      </c>
      <c r="K5" s="816"/>
      <c r="L5" s="816"/>
      <c r="M5" s="816"/>
      <c r="N5" s="816"/>
      <c r="O5" s="816"/>
      <c r="P5" s="816"/>
      <c r="Q5" s="816"/>
      <c r="R5" s="122"/>
      <c r="S5" s="818" t="s">
        <v>768</v>
      </c>
      <c r="T5" s="816"/>
      <c r="U5" s="816"/>
      <c r="V5" s="816"/>
      <c r="W5" s="816"/>
      <c r="X5" s="816"/>
      <c r="Y5" s="816"/>
      <c r="Z5" s="816"/>
      <c r="AA5" s="122"/>
      <c r="AB5" s="208" t="s">
        <v>1096</v>
      </c>
      <c r="AC5" s="203"/>
      <c r="AD5" s="203"/>
      <c r="AE5" s="203"/>
      <c r="AF5" s="203"/>
      <c r="AG5" s="120"/>
      <c r="AH5" s="204"/>
      <c r="AI5" s="204"/>
      <c r="AJ5" s="204"/>
      <c r="AK5" s="204"/>
      <c r="AL5" s="206"/>
    </row>
    <row r="6" spans="1:38" ht="12.75" customHeight="1">
      <c r="A6" s="7"/>
      <c r="B6" s="123"/>
      <c r="C6" s="123"/>
      <c r="D6" s="123"/>
      <c r="E6" s="123"/>
      <c r="F6" s="7" t="s">
        <v>769</v>
      </c>
      <c r="G6" s="122" t="str">
        <f>VLOOKUP(G8,'TOTAL - LCB'!$A$18:$AE$1019,12,FALSE)</f>
        <v>DYY-LCH25066</v>
      </c>
      <c r="H6" s="123"/>
      <c r="I6" s="123"/>
      <c r="J6" s="7"/>
      <c r="K6" s="123"/>
      <c r="L6" s="123"/>
      <c r="M6" s="123"/>
      <c r="N6" s="123"/>
      <c r="O6" s="7" t="s">
        <v>769</v>
      </c>
      <c r="P6" s="124" t="str">
        <f>VLOOKUP(P8,'TOTAL - LCB'!$A$18:$AE$1019,12,FALSE)</f>
        <v>DYY-LCH25066</v>
      </c>
      <c r="Q6" s="123"/>
      <c r="R6" s="123"/>
      <c r="S6" s="7"/>
      <c r="T6" s="123"/>
      <c r="U6" s="123"/>
      <c r="V6" s="123"/>
      <c r="W6" s="123"/>
      <c r="X6" s="7" t="s">
        <v>770</v>
      </c>
      <c r="Y6" s="124" t="str">
        <f>VLOOKUP(Y8,'TOTAL - LCB'!$A$18:$AE$1019,12,FALSE)</f>
        <v>DYY-LCH25066</v>
      </c>
      <c r="Z6" s="123"/>
      <c r="AA6" s="123"/>
      <c r="AB6" s="202" t="s">
        <v>771</v>
      </c>
      <c r="AC6" s="203"/>
      <c r="AD6" s="203"/>
      <c r="AE6" s="203"/>
      <c r="AF6" s="203"/>
      <c r="AG6" s="120"/>
      <c r="AH6" s="204"/>
      <c r="AI6" s="209" t="s">
        <v>772</v>
      </c>
      <c r="AJ6" s="209" t="s">
        <v>773</v>
      </c>
      <c r="AK6" s="204"/>
      <c r="AL6" s="206"/>
    </row>
    <row r="7" spans="1:38" ht="12.75" customHeight="1">
      <c r="A7" s="7"/>
      <c r="B7" s="7"/>
      <c r="C7" s="7"/>
      <c r="D7" s="7"/>
      <c r="E7" s="7"/>
      <c r="F7" s="7" t="s">
        <v>774</v>
      </c>
      <c r="G7" s="125">
        <f>VLOOKUP(G8,'TOTAL - LCB'!$A$18:$AE$1019,2,FALSE)</f>
        <v>45813</v>
      </c>
      <c r="H7" s="7"/>
      <c r="I7" s="7"/>
      <c r="J7" s="7"/>
      <c r="K7" s="7"/>
      <c r="L7" s="7"/>
      <c r="M7" s="7"/>
      <c r="N7" s="7"/>
      <c r="O7" s="7" t="s">
        <v>774</v>
      </c>
      <c r="P7" s="125">
        <f>VLOOKUP(P8,'TOTAL - LCB'!$A$18:$AE$1019,2,FALSE)</f>
        <v>45813</v>
      </c>
      <c r="Q7" s="7"/>
      <c r="R7" s="7"/>
      <c r="S7" s="7"/>
      <c r="T7" s="7"/>
      <c r="U7" s="7"/>
      <c r="V7" s="7"/>
      <c r="W7" s="7"/>
      <c r="X7" s="7" t="s">
        <v>774</v>
      </c>
      <c r="Y7" s="125">
        <f>VLOOKUP(Y8,'TOTAL - LCB'!$A$18:$AE$1019,2,FALSE)</f>
        <v>45813</v>
      </c>
      <c r="Z7" s="7"/>
      <c r="AA7" s="7"/>
      <c r="AB7" s="202"/>
      <c r="AC7" s="126"/>
      <c r="AD7" s="126"/>
      <c r="AE7" s="126"/>
      <c r="AF7" s="126"/>
      <c r="AG7" s="127"/>
      <c r="AH7" s="204"/>
      <c r="AI7" s="204"/>
      <c r="AJ7" s="209"/>
      <c r="AK7" s="204"/>
      <c r="AL7" s="206"/>
    </row>
    <row r="8" spans="1:38" ht="12.75" customHeight="1">
      <c r="A8" s="128" t="s">
        <v>775</v>
      </c>
      <c r="B8" s="7"/>
      <c r="C8" s="7"/>
      <c r="D8" s="7"/>
      <c r="E8" s="7"/>
      <c r="F8" s="121" t="s">
        <v>766</v>
      </c>
      <c r="G8" s="121" t="s">
        <v>1381</v>
      </c>
      <c r="H8" s="7"/>
      <c r="I8" s="7"/>
      <c r="J8" s="128" t="s">
        <v>775</v>
      </c>
      <c r="K8" s="7"/>
      <c r="L8" s="7"/>
      <c r="M8" s="7"/>
      <c r="N8" s="7"/>
      <c r="O8" s="121" t="s">
        <v>766</v>
      </c>
      <c r="P8" s="121" t="str">
        <f>G8</f>
        <v>DYY-LCH25066</v>
      </c>
      <c r="Q8" s="7"/>
      <c r="R8" s="7"/>
      <c r="S8" s="128" t="s">
        <v>776</v>
      </c>
      <c r="T8" s="7"/>
      <c r="U8" s="7"/>
      <c r="V8" s="7"/>
      <c r="W8" s="7"/>
      <c r="X8" s="121" t="s">
        <v>766</v>
      </c>
      <c r="Y8" s="121" t="str">
        <f>P8</f>
        <v>DYY-LCH25066</v>
      </c>
      <c r="Z8" s="7"/>
      <c r="AA8" s="7"/>
      <c r="AB8" s="210" t="s">
        <v>777</v>
      </c>
      <c r="AC8" s="129"/>
      <c r="AD8" s="129"/>
      <c r="AE8" s="129"/>
      <c r="AF8" s="129"/>
      <c r="AG8" s="130"/>
      <c r="AH8" s="204"/>
      <c r="AI8" s="205"/>
      <c r="AJ8" s="209"/>
      <c r="AK8" s="204"/>
      <c r="AL8" s="206"/>
    </row>
    <row r="9" spans="1:38" ht="12.75" customHeight="1">
      <c r="A9" s="24" t="s">
        <v>1869</v>
      </c>
      <c r="B9" s="7"/>
      <c r="C9" s="7"/>
      <c r="D9" s="7"/>
      <c r="E9" s="7"/>
      <c r="F9" s="7"/>
      <c r="G9" s="7"/>
      <c r="H9" s="7"/>
      <c r="I9" s="7"/>
      <c r="J9" s="24" t="s">
        <v>1869</v>
      </c>
      <c r="K9" s="7"/>
      <c r="L9" s="7"/>
      <c r="M9" s="7"/>
      <c r="N9" s="7"/>
      <c r="O9" s="7"/>
      <c r="P9" s="7"/>
      <c r="Q9" s="7"/>
      <c r="R9" s="7"/>
      <c r="S9" s="7" t="s">
        <v>1076</v>
      </c>
      <c r="T9" s="7"/>
      <c r="U9" s="7"/>
      <c r="V9" s="7"/>
      <c r="W9" s="7"/>
      <c r="X9" s="7"/>
      <c r="Y9" s="7"/>
      <c r="Z9" s="7"/>
      <c r="AA9" s="7"/>
      <c r="AB9" s="202" t="s">
        <v>1869</v>
      </c>
      <c r="AC9" s="204"/>
      <c r="AD9" s="204"/>
      <c r="AE9" s="204"/>
      <c r="AF9" s="204"/>
      <c r="AG9" s="131"/>
      <c r="AH9" s="204"/>
      <c r="AI9" s="212"/>
      <c r="AJ9" s="204"/>
      <c r="AK9" s="204"/>
      <c r="AL9" s="206"/>
    </row>
    <row r="10" spans="1:38" ht="12.75" customHeight="1">
      <c r="A10" s="24" t="s">
        <v>1870</v>
      </c>
      <c r="B10" s="7"/>
      <c r="C10" s="7"/>
      <c r="D10" s="7"/>
      <c r="E10" s="7"/>
      <c r="F10" s="7"/>
      <c r="G10" s="7"/>
      <c r="H10" s="7"/>
      <c r="I10" s="7"/>
      <c r="J10" s="24" t="s">
        <v>1870</v>
      </c>
      <c r="K10" s="7"/>
      <c r="L10" s="7"/>
      <c r="M10" s="7"/>
      <c r="N10" s="7"/>
      <c r="O10" s="7"/>
      <c r="P10" s="7"/>
      <c r="Q10" s="7"/>
      <c r="R10" s="7"/>
      <c r="S10" s="7" t="s">
        <v>1077</v>
      </c>
      <c r="T10" s="7"/>
      <c r="U10" s="7"/>
      <c r="V10" s="7"/>
      <c r="W10" s="7"/>
      <c r="X10" s="7"/>
      <c r="Y10" s="7"/>
      <c r="Z10" s="7"/>
      <c r="AA10" s="7"/>
      <c r="AB10" s="202" t="s">
        <v>1870</v>
      </c>
      <c r="AC10" s="205"/>
      <c r="AD10" s="204"/>
      <c r="AE10" s="204"/>
      <c r="AF10" s="204"/>
      <c r="AG10" s="131"/>
      <c r="AH10" s="204"/>
      <c r="AI10" s="213"/>
      <c r="AJ10" s="204"/>
      <c r="AK10" s="204"/>
      <c r="AL10" s="206"/>
    </row>
    <row r="11" spans="1:38" ht="12.75" customHeight="1">
      <c r="A11" s="24" t="s">
        <v>1871</v>
      </c>
      <c r="B11" s="7"/>
      <c r="C11" s="7"/>
      <c r="D11" s="7"/>
      <c r="E11" s="7"/>
      <c r="F11" s="7"/>
      <c r="G11" s="7"/>
      <c r="H11" s="7"/>
      <c r="I11" s="7"/>
      <c r="J11" s="24" t="s">
        <v>1871</v>
      </c>
      <c r="K11" s="7"/>
      <c r="L11" s="7"/>
      <c r="M11" s="7"/>
      <c r="N11" s="7"/>
      <c r="O11" s="7"/>
      <c r="P11" s="7"/>
      <c r="Q11" s="226"/>
      <c r="R11" s="7"/>
      <c r="S11" s="7" t="s">
        <v>780</v>
      </c>
      <c r="T11" s="7"/>
      <c r="U11" s="7"/>
      <c r="V11" s="7"/>
      <c r="W11" s="7"/>
      <c r="X11" s="7"/>
      <c r="Y11" s="7"/>
      <c r="Z11" s="7"/>
      <c r="AA11" s="7"/>
      <c r="AB11" s="202" t="s">
        <v>1871</v>
      </c>
      <c r="AC11" s="214"/>
      <c r="AD11" s="204"/>
      <c r="AE11" s="204"/>
      <c r="AF11" s="204"/>
      <c r="AG11" s="131"/>
      <c r="AH11" s="204"/>
      <c r="AI11" s="213"/>
      <c r="AJ11" s="204"/>
      <c r="AK11" s="204"/>
      <c r="AL11" s="206"/>
    </row>
    <row r="12" spans="1:38" ht="12.75" customHeight="1">
      <c r="A12" s="24" t="s">
        <v>1872</v>
      </c>
      <c r="B12" s="7"/>
      <c r="C12" s="7"/>
      <c r="D12" s="7"/>
      <c r="E12" s="7"/>
      <c r="F12" s="7"/>
      <c r="G12" s="7"/>
      <c r="H12" s="7"/>
      <c r="I12" s="7"/>
      <c r="J12" s="24" t="s">
        <v>1872</v>
      </c>
      <c r="K12" s="7"/>
      <c r="L12" s="7"/>
      <c r="M12" s="7"/>
      <c r="N12" s="7"/>
      <c r="O12" s="7"/>
      <c r="P12" s="7"/>
      <c r="Q12" s="226"/>
      <c r="R12" s="7"/>
      <c r="S12" s="7"/>
      <c r="T12" s="7"/>
      <c r="U12" s="7"/>
      <c r="V12" s="7"/>
      <c r="W12" s="7"/>
      <c r="X12" s="7"/>
      <c r="Y12" s="7"/>
      <c r="Z12" s="7"/>
      <c r="AA12" s="7"/>
      <c r="AB12" s="202" t="s">
        <v>1872</v>
      </c>
      <c r="AC12" s="214"/>
      <c r="AD12" s="204"/>
      <c r="AE12" s="204"/>
      <c r="AF12" s="204"/>
      <c r="AG12" s="131"/>
      <c r="AH12" s="204"/>
      <c r="AI12" s="204"/>
      <c r="AJ12" s="204"/>
      <c r="AK12" s="204"/>
      <c r="AL12" s="206"/>
    </row>
    <row r="13" spans="1:38" ht="12.75" customHeight="1">
      <c r="A13" s="24" t="s">
        <v>1873</v>
      </c>
      <c r="B13" s="7"/>
      <c r="C13" s="7"/>
      <c r="D13" s="7"/>
      <c r="E13" s="7"/>
      <c r="F13" s="7"/>
      <c r="G13" s="7"/>
      <c r="H13" s="7"/>
      <c r="I13" s="7"/>
      <c r="J13" s="24" t="s">
        <v>1873</v>
      </c>
      <c r="K13" s="7"/>
      <c r="L13" s="7"/>
      <c r="M13" s="7"/>
      <c r="N13" s="7"/>
      <c r="O13" s="7"/>
      <c r="P13" s="7"/>
      <c r="Q13" s="226"/>
      <c r="R13" s="7"/>
      <c r="S13" s="7"/>
      <c r="T13" s="7"/>
      <c r="U13" s="7"/>
      <c r="V13" s="7"/>
      <c r="W13" s="7"/>
      <c r="X13" s="7"/>
      <c r="Y13" s="7"/>
      <c r="Z13" s="7"/>
      <c r="AA13" s="7"/>
      <c r="AB13" s="202" t="s">
        <v>1873</v>
      </c>
      <c r="AC13" s="214"/>
      <c r="AD13" s="204"/>
      <c r="AE13" s="204"/>
      <c r="AF13" s="204"/>
      <c r="AG13" s="131"/>
      <c r="AH13" s="204"/>
      <c r="AI13" s="204"/>
      <c r="AJ13" s="204"/>
      <c r="AK13" s="204"/>
      <c r="AL13" s="206"/>
    </row>
    <row r="14" spans="1:38" ht="12.75" customHeight="1">
      <c r="A14" s="24"/>
      <c r="B14" s="7"/>
      <c r="C14" s="7"/>
      <c r="D14" s="7"/>
      <c r="E14" s="7"/>
      <c r="F14" s="7"/>
      <c r="G14" s="7"/>
      <c r="H14" s="7"/>
      <c r="I14" s="7"/>
      <c r="J14" s="24"/>
      <c r="K14" s="7"/>
      <c r="L14" s="7"/>
      <c r="M14" s="7"/>
      <c r="N14" s="7"/>
      <c r="O14" s="7"/>
      <c r="P14" s="7"/>
      <c r="Q14" s="226"/>
      <c r="R14" s="7"/>
      <c r="S14" s="7"/>
      <c r="T14" s="7"/>
      <c r="U14" s="7"/>
      <c r="V14" s="7"/>
      <c r="W14" s="7"/>
      <c r="X14" s="7"/>
      <c r="Y14" s="7"/>
      <c r="Z14" s="7"/>
      <c r="AA14" s="7"/>
      <c r="AB14" s="202"/>
      <c r="AC14" s="214"/>
      <c r="AD14" s="204"/>
      <c r="AE14" s="204"/>
      <c r="AF14" s="204"/>
      <c r="AG14" s="131"/>
      <c r="AH14" s="204"/>
      <c r="AI14" s="204"/>
      <c r="AJ14" s="204"/>
      <c r="AK14" s="204"/>
      <c r="AL14" s="206"/>
    </row>
    <row r="15" spans="1:38" ht="12.75" customHeight="1">
      <c r="B15" s="7"/>
      <c r="C15" s="7"/>
      <c r="D15" s="7"/>
      <c r="E15" s="7"/>
      <c r="F15" s="7"/>
      <c r="G15" s="7"/>
      <c r="H15" s="7"/>
      <c r="I15" s="7"/>
      <c r="J15" s="24"/>
      <c r="K15" s="7"/>
      <c r="L15" s="7"/>
      <c r="M15" s="7"/>
      <c r="N15" s="7"/>
      <c r="O15" s="7"/>
      <c r="P15" s="7"/>
      <c r="Q15" s="226"/>
      <c r="R15" s="7"/>
      <c r="S15" s="128" t="s">
        <v>785</v>
      </c>
      <c r="T15" s="7"/>
      <c r="U15" s="7"/>
      <c r="V15" s="7"/>
      <c r="W15" s="7"/>
      <c r="X15" s="7"/>
      <c r="Y15" s="7"/>
      <c r="Z15" s="7"/>
      <c r="AA15" s="7"/>
      <c r="AB15" s="202"/>
      <c r="AC15" s="132"/>
      <c r="AD15" s="126"/>
      <c r="AE15" s="126"/>
      <c r="AF15" s="126"/>
      <c r="AG15" s="127"/>
      <c r="AH15" s="204"/>
      <c r="AI15" s="204"/>
      <c r="AJ15" s="204"/>
      <c r="AK15" s="204"/>
      <c r="AL15" s="206"/>
    </row>
    <row r="16" spans="1:38" ht="12.75" customHeight="1">
      <c r="A16" s="24"/>
      <c r="B16" s="7"/>
      <c r="C16" s="7"/>
      <c r="D16" s="7"/>
      <c r="E16" s="7"/>
      <c r="F16" s="7"/>
      <c r="G16" s="7"/>
      <c r="H16" s="7"/>
      <c r="I16" s="7"/>
      <c r="J16" s="24"/>
      <c r="K16" s="7"/>
      <c r="L16" s="7"/>
      <c r="M16" s="7"/>
      <c r="N16" s="7"/>
      <c r="O16" s="7"/>
      <c r="P16" s="7"/>
      <c r="Q16" s="226"/>
      <c r="R16" s="7"/>
      <c r="S16" s="24" t="s">
        <v>1869</v>
      </c>
      <c r="T16" s="7"/>
      <c r="U16" s="7"/>
      <c r="V16" s="7"/>
      <c r="W16" s="7"/>
      <c r="X16" s="7"/>
      <c r="Y16" s="7"/>
      <c r="Z16" s="7"/>
      <c r="AA16" s="7"/>
      <c r="AB16" s="210"/>
      <c r="AC16" s="214"/>
      <c r="AD16" s="204"/>
      <c r="AE16" s="204"/>
      <c r="AF16" s="204"/>
      <c r="AG16" s="131"/>
      <c r="AH16" s="204"/>
      <c r="AI16" s="204"/>
      <c r="AJ16" s="204"/>
      <c r="AK16" s="204"/>
      <c r="AL16" s="206"/>
    </row>
    <row r="17" spans="1:38" ht="12.75" customHeight="1">
      <c r="A17" s="133" t="s">
        <v>786</v>
      </c>
      <c r="B17" s="7"/>
      <c r="C17" s="7"/>
      <c r="D17" s="7"/>
      <c r="E17" s="7"/>
      <c r="F17" s="7"/>
      <c r="G17" s="7"/>
      <c r="H17" s="7"/>
      <c r="I17" s="7"/>
      <c r="J17" s="133" t="s">
        <v>786</v>
      </c>
      <c r="K17" s="7"/>
      <c r="L17" s="7"/>
      <c r="M17" s="7"/>
      <c r="N17" s="7"/>
      <c r="O17" s="7"/>
      <c r="P17" s="7"/>
      <c r="Q17" s="226"/>
      <c r="R17" s="7"/>
      <c r="S17" s="24" t="s">
        <v>1870</v>
      </c>
      <c r="T17" s="7"/>
      <c r="U17" s="7"/>
      <c r="V17" s="7"/>
      <c r="W17" s="7"/>
      <c r="X17" s="7"/>
      <c r="Y17" s="7"/>
      <c r="Z17" s="226"/>
      <c r="AA17" s="226"/>
      <c r="AB17" s="210" t="s">
        <v>787</v>
      </c>
      <c r="AC17" s="129"/>
      <c r="AD17" s="129"/>
      <c r="AE17" s="129"/>
      <c r="AF17" s="129"/>
      <c r="AG17" s="130"/>
      <c r="AH17" s="215" t="s">
        <v>788</v>
      </c>
      <c r="AI17" s="204"/>
      <c r="AJ17" s="205" t="str">
        <f>VLOOKUP(AJ4,'TOTAL - LCB'!$A$18:$AE$1019,9,FALSE)</f>
        <v>TH01047676</v>
      </c>
      <c r="AK17" s="204"/>
      <c r="AL17" s="206"/>
    </row>
    <row r="18" spans="1:38" ht="12.75" customHeight="1">
      <c r="A18" s="24" t="s">
        <v>1869</v>
      </c>
      <c r="B18" s="7"/>
      <c r="C18" s="7"/>
      <c r="D18" s="7"/>
      <c r="E18" s="7"/>
      <c r="F18" s="7"/>
      <c r="G18" s="7"/>
      <c r="H18" s="7"/>
      <c r="I18" s="7"/>
      <c r="J18" s="24" t="s">
        <v>1869</v>
      </c>
      <c r="K18" s="7"/>
      <c r="L18" s="7"/>
      <c r="M18" s="7"/>
      <c r="N18" s="7"/>
      <c r="O18" s="7"/>
      <c r="P18" s="7"/>
      <c r="Q18" s="226"/>
      <c r="R18" s="7"/>
      <c r="S18" s="24" t="s">
        <v>1871</v>
      </c>
      <c r="T18" s="7"/>
      <c r="U18" s="7"/>
      <c r="V18" s="7"/>
      <c r="W18" s="7"/>
      <c r="X18" s="7"/>
      <c r="Y18" s="7"/>
      <c r="Z18" s="226"/>
      <c r="AA18" s="226"/>
      <c r="AB18" s="202" t="s">
        <v>1869</v>
      </c>
      <c r="AC18" s="537"/>
      <c r="AD18" s="204"/>
      <c r="AE18" s="204"/>
      <c r="AF18" s="204"/>
      <c r="AG18" s="131"/>
      <c r="AH18" s="215"/>
      <c r="AI18" s="204"/>
      <c r="AJ18" s="204"/>
      <c r="AK18" s="204"/>
      <c r="AL18" s="206"/>
    </row>
    <row r="19" spans="1:38" ht="12.75" customHeight="1">
      <c r="A19" s="24" t="s">
        <v>1870</v>
      </c>
      <c r="B19" s="7"/>
      <c r="C19" s="7"/>
      <c r="D19" s="7"/>
      <c r="E19" s="7"/>
      <c r="F19" s="7"/>
      <c r="G19" s="7"/>
      <c r="H19" s="7"/>
      <c r="I19" s="7"/>
      <c r="J19" s="24" t="s">
        <v>1870</v>
      </c>
      <c r="K19" s="7"/>
      <c r="L19" s="7"/>
      <c r="M19" s="7"/>
      <c r="N19" s="7"/>
      <c r="O19" s="7"/>
      <c r="P19" s="7"/>
      <c r="Q19" s="226"/>
      <c r="R19" s="7"/>
      <c r="S19" s="24" t="s">
        <v>1872</v>
      </c>
      <c r="T19" s="7"/>
      <c r="U19" s="7"/>
      <c r="V19" s="7"/>
      <c r="W19" s="7"/>
      <c r="X19" s="7"/>
      <c r="Y19" s="7"/>
      <c r="Z19" s="226"/>
      <c r="AA19" s="226"/>
      <c r="AB19" s="202" t="s">
        <v>1870</v>
      </c>
      <c r="AC19" s="537"/>
      <c r="AD19" s="204"/>
      <c r="AE19" s="204"/>
      <c r="AF19" s="204"/>
      <c r="AG19" s="131"/>
      <c r="AH19" s="215"/>
      <c r="AI19" s="204"/>
      <c r="AJ19" s="204"/>
      <c r="AK19" s="204"/>
      <c r="AL19" s="206"/>
    </row>
    <row r="20" spans="1:38" ht="12.75" customHeight="1">
      <c r="A20" s="24" t="s">
        <v>1871</v>
      </c>
      <c r="B20" s="7"/>
      <c r="C20" s="7"/>
      <c r="D20" s="7"/>
      <c r="E20" s="7"/>
      <c r="F20" s="7"/>
      <c r="G20" s="7"/>
      <c r="H20" s="7"/>
      <c r="I20" s="7"/>
      <c r="J20" s="24" t="s">
        <v>1871</v>
      </c>
      <c r="K20" s="7"/>
      <c r="L20" s="7"/>
      <c r="M20" s="7"/>
      <c r="N20" s="7"/>
      <c r="O20" s="7"/>
      <c r="P20" s="7"/>
      <c r="Q20" s="226"/>
      <c r="R20" s="7"/>
      <c r="S20" s="24" t="s">
        <v>1873</v>
      </c>
      <c r="T20" s="7"/>
      <c r="U20" s="7"/>
      <c r="V20" s="7"/>
      <c r="W20" s="7"/>
      <c r="X20" s="7"/>
      <c r="Y20" s="7"/>
      <c r="Z20" s="226"/>
      <c r="AA20" s="226"/>
      <c r="AB20" s="202" t="s">
        <v>1871</v>
      </c>
      <c r="AC20" s="537"/>
      <c r="AD20" s="204"/>
      <c r="AE20" s="204"/>
      <c r="AF20" s="204"/>
      <c r="AG20" s="131"/>
      <c r="AH20" s="204"/>
      <c r="AI20" s="204"/>
      <c r="AJ20" s="204"/>
      <c r="AK20" s="204"/>
      <c r="AL20" s="206"/>
    </row>
    <row r="21" spans="1:38" ht="12.75" customHeight="1">
      <c r="A21" s="24" t="s">
        <v>1872</v>
      </c>
      <c r="B21" s="7"/>
      <c r="C21" s="7"/>
      <c r="D21" s="7"/>
      <c r="E21" s="7"/>
      <c r="F21" s="7"/>
      <c r="G21" s="7"/>
      <c r="H21" s="7"/>
      <c r="I21" s="7"/>
      <c r="J21" s="24" t="s">
        <v>1872</v>
      </c>
      <c r="K21" s="7"/>
      <c r="L21" s="7"/>
      <c r="M21" s="7"/>
      <c r="N21" s="7"/>
      <c r="O21" s="7"/>
      <c r="P21" s="7"/>
      <c r="Q21" s="226"/>
      <c r="R21" s="7"/>
      <c r="S21" s="24"/>
      <c r="T21" s="7"/>
      <c r="U21" s="7"/>
      <c r="V21" s="7"/>
      <c r="W21" s="7"/>
      <c r="X21" s="7"/>
      <c r="Y21" s="7"/>
      <c r="Z21" s="226"/>
      <c r="AA21" s="226"/>
      <c r="AB21" s="202" t="s">
        <v>1872</v>
      </c>
      <c r="AC21" s="537"/>
      <c r="AD21" s="204"/>
      <c r="AE21" s="204"/>
      <c r="AF21" s="204"/>
      <c r="AG21" s="131"/>
      <c r="AH21" s="204"/>
      <c r="AI21" s="204"/>
      <c r="AJ21" s="204"/>
      <c r="AK21" s="204"/>
      <c r="AL21" s="206"/>
    </row>
    <row r="22" spans="1:38" ht="12.75" customHeight="1">
      <c r="A22" s="24" t="s">
        <v>1873</v>
      </c>
      <c r="B22" s="7"/>
      <c r="C22" s="7"/>
      <c r="D22" s="7"/>
      <c r="E22" s="7"/>
      <c r="F22" s="7"/>
      <c r="G22" s="7"/>
      <c r="H22" s="7"/>
      <c r="I22" s="7"/>
      <c r="J22" s="24" t="s">
        <v>1873</v>
      </c>
      <c r="K22" s="7"/>
      <c r="L22" s="7"/>
      <c r="M22" s="7"/>
      <c r="N22" s="7"/>
      <c r="O22" s="7"/>
      <c r="P22" s="7"/>
      <c r="Q22" s="226"/>
      <c r="R22" s="7"/>
      <c r="S22" s="24"/>
      <c r="T22" s="7"/>
      <c r="U22" s="7"/>
      <c r="V22" s="7"/>
      <c r="W22" s="7"/>
      <c r="X22" s="7"/>
      <c r="Y22" s="7"/>
      <c r="Z22" s="226"/>
      <c r="AA22" s="226"/>
      <c r="AB22" s="202" t="s">
        <v>1873</v>
      </c>
      <c r="AC22" s="537"/>
      <c r="AD22" s="204"/>
      <c r="AE22" s="204"/>
      <c r="AF22" s="204"/>
      <c r="AG22" s="131"/>
      <c r="AH22" s="204"/>
      <c r="AI22" s="204"/>
      <c r="AJ22" s="204"/>
      <c r="AK22" s="204"/>
      <c r="AL22" s="206"/>
    </row>
    <row r="23" spans="1:38" ht="12.75" customHeight="1">
      <c r="A23" s="24"/>
      <c r="B23" s="7"/>
      <c r="C23" s="7"/>
      <c r="D23" s="7"/>
      <c r="E23" s="7"/>
      <c r="F23" s="7"/>
      <c r="G23" s="7"/>
      <c r="H23" s="7"/>
      <c r="I23" s="7"/>
      <c r="J23" s="24"/>
      <c r="K23" s="7"/>
      <c r="L23" s="7"/>
      <c r="M23" s="7"/>
      <c r="N23" s="7"/>
      <c r="O23" s="7"/>
      <c r="P23" s="7"/>
      <c r="Q23" s="226"/>
      <c r="R23" s="7"/>
      <c r="S23" s="24"/>
      <c r="T23" s="7"/>
      <c r="U23" s="7"/>
      <c r="V23" s="7"/>
      <c r="W23" s="7"/>
      <c r="X23" s="7"/>
      <c r="Y23" s="7"/>
      <c r="Z23" s="226"/>
      <c r="AA23" s="226"/>
      <c r="AB23" s="202"/>
      <c r="AC23" s="537"/>
      <c r="AD23" s="204"/>
      <c r="AE23" s="204"/>
      <c r="AF23" s="204"/>
      <c r="AG23" s="131"/>
      <c r="AH23" s="204"/>
      <c r="AI23" s="204"/>
      <c r="AJ23" s="204"/>
      <c r="AK23" s="204"/>
      <c r="AL23" s="206"/>
    </row>
    <row r="24" spans="1:38" ht="15" customHeight="1">
      <c r="A24" s="24"/>
      <c r="B24" s="7"/>
      <c r="C24" s="7"/>
      <c r="D24" s="7"/>
      <c r="E24" s="7"/>
      <c r="F24" s="7"/>
      <c r="G24" s="7"/>
      <c r="H24" s="7"/>
      <c r="I24" s="7"/>
      <c r="J24" s="24"/>
      <c r="K24" s="7"/>
      <c r="L24" s="7"/>
      <c r="M24" s="7"/>
      <c r="N24" s="7"/>
      <c r="O24" s="7"/>
      <c r="P24" s="7"/>
      <c r="Q24" s="226"/>
      <c r="R24" s="172"/>
      <c r="S24" s="134" t="s">
        <v>789</v>
      </c>
      <c r="T24" s="825" t="s">
        <v>790</v>
      </c>
      <c r="U24" s="826"/>
      <c r="V24" s="134" t="s">
        <v>791</v>
      </c>
      <c r="W24" s="135" t="s">
        <v>792</v>
      </c>
      <c r="X24" s="827" t="s">
        <v>855</v>
      </c>
      <c r="Y24" s="826"/>
      <c r="Z24" s="239" t="s">
        <v>794</v>
      </c>
      <c r="AA24" s="462"/>
      <c r="AB24" s="202"/>
      <c r="AC24" s="126"/>
      <c r="AD24" s="126"/>
      <c r="AE24" s="126"/>
      <c r="AF24" s="126"/>
      <c r="AG24" s="127"/>
      <c r="AH24" s="204"/>
      <c r="AI24" s="204"/>
      <c r="AJ24" s="204"/>
      <c r="AK24" s="204"/>
      <c r="AL24" s="206"/>
    </row>
    <row r="25" spans="1:38" ht="15" customHeight="1">
      <c r="A25" s="24"/>
      <c r="B25" s="7"/>
      <c r="C25" s="7"/>
      <c r="D25" s="7"/>
      <c r="E25" s="7"/>
      <c r="F25" s="7"/>
      <c r="G25" s="7"/>
      <c r="H25" s="7"/>
      <c r="I25" s="194"/>
      <c r="J25" s="24"/>
      <c r="K25" s="7"/>
      <c r="L25" s="7"/>
      <c r="M25" s="7"/>
      <c r="N25" s="7"/>
      <c r="O25" s="7"/>
      <c r="P25" s="7"/>
      <c r="Q25" s="240"/>
      <c r="R25" s="235"/>
      <c r="S25" s="136"/>
      <c r="T25" s="830"/>
      <c r="U25" s="829"/>
      <c r="V25" s="136" t="str">
        <f>VLOOKUP(P8,'TOTAL - LCB'!$A$18:$AE$1019,18,FALSE)</f>
        <v>PLASTIC BASKETS</v>
      </c>
      <c r="W25" s="137" t="s">
        <v>795</v>
      </c>
      <c r="X25" s="828"/>
      <c r="Y25" s="829"/>
      <c r="Z25" s="136" t="s">
        <v>857</v>
      </c>
      <c r="AA25" s="6"/>
      <c r="AB25" s="210" t="s">
        <v>849</v>
      </c>
      <c r="AC25" s="129"/>
      <c r="AD25" s="129"/>
      <c r="AE25" s="138" t="s">
        <v>797</v>
      </c>
      <c r="AF25" s="129"/>
      <c r="AG25" s="130"/>
      <c r="AH25" s="204"/>
      <c r="AI25" s="204"/>
      <c r="AJ25" s="204"/>
      <c r="AK25" s="204"/>
      <c r="AL25" s="206"/>
    </row>
    <row r="26" spans="1:38" ht="15" customHeight="1">
      <c r="A26" s="134" t="s">
        <v>798</v>
      </c>
      <c r="B26" s="134" t="s">
        <v>792</v>
      </c>
      <c r="C26" s="134" t="s">
        <v>799</v>
      </c>
      <c r="D26" s="135" t="s">
        <v>800</v>
      </c>
      <c r="E26" s="134" t="s">
        <v>801</v>
      </c>
      <c r="F26" s="134" t="s">
        <v>802</v>
      </c>
      <c r="G26" s="134" t="s">
        <v>803</v>
      </c>
      <c r="H26" s="134" t="s">
        <v>794</v>
      </c>
      <c r="I26" s="6"/>
      <c r="J26" s="134" t="s">
        <v>798</v>
      </c>
      <c r="K26" s="134" t="s">
        <v>792</v>
      </c>
      <c r="L26" s="134" t="s">
        <v>799</v>
      </c>
      <c r="M26" s="135" t="s">
        <v>800</v>
      </c>
      <c r="N26" s="134" t="s">
        <v>801</v>
      </c>
      <c r="O26" s="134" t="s">
        <v>802</v>
      </c>
      <c r="P26" s="134" t="s">
        <v>803</v>
      </c>
      <c r="Q26" s="239" t="s">
        <v>794</v>
      </c>
      <c r="R26" s="6"/>
      <c r="S26" s="834" t="str">
        <f>J29</f>
        <v xml:space="preserve">ZHEN GUO HOU </v>
      </c>
      <c r="T26" s="825" t="str">
        <f>VLOOKUP(Y8,'TOTAL - LCB'!$A$18:$AE$1019,8,FALSE)</f>
        <v>FRESH MANGOSTEEN</v>
      </c>
      <c r="U26" s="826"/>
      <c r="V26" s="837">
        <f>VLOOKUP(Y8,'TOTAL - LCB'!$A$18:$AE$1019,17,FALSE)</f>
        <v>2400</v>
      </c>
      <c r="W26" s="831">
        <f>N29</f>
        <v>16800</v>
      </c>
      <c r="X26" s="838">
        <f>VLOOKUP(Y8,'TOTAL - LCB'!$A$18:$AE$1019,13,FALSE)</f>
        <v>67</v>
      </c>
      <c r="Y26" s="826"/>
      <c r="Z26" s="831">
        <f>W26*X26</f>
        <v>1125600</v>
      </c>
      <c r="AA26" s="7"/>
      <c r="AB26" s="208"/>
      <c r="AC26" s="204"/>
      <c r="AD26" s="204"/>
      <c r="AE26" s="139" t="s">
        <v>804</v>
      </c>
      <c r="AF26" s="126"/>
      <c r="AG26" s="127"/>
      <c r="AH26" s="204"/>
      <c r="AI26" s="204"/>
      <c r="AJ26" s="204"/>
      <c r="AK26" s="204"/>
      <c r="AL26" s="206"/>
    </row>
    <row r="27" spans="1:38" ht="12.75" customHeight="1">
      <c r="A27" s="136"/>
      <c r="B27" s="136" t="str">
        <f>VLOOKUP(G8,'TOTAL - LCB'!$A$18:$AE$1019,18,FALSE)</f>
        <v>PLASTIC BASKETS</v>
      </c>
      <c r="C27" s="136"/>
      <c r="D27" s="137"/>
      <c r="E27" s="136" t="s">
        <v>805</v>
      </c>
      <c r="F27" s="136" t="s">
        <v>805</v>
      </c>
      <c r="G27" s="136" t="s">
        <v>806</v>
      </c>
      <c r="H27" s="136" t="s">
        <v>796</v>
      </c>
      <c r="I27" s="7"/>
      <c r="J27" s="136"/>
      <c r="K27" s="136" t="str">
        <f>VLOOKUP(G8,'TOTAL - LCB'!$A$18:$AE$1019,18,FALSE)</f>
        <v>PLASTIC BASKETS</v>
      </c>
      <c r="L27" s="136"/>
      <c r="M27" s="137"/>
      <c r="N27" s="136" t="s">
        <v>805</v>
      </c>
      <c r="O27" s="136" t="s">
        <v>805</v>
      </c>
      <c r="P27" s="136" t="s">
        <v>856</v>
      </c>
      <c r="Q27" s="136" t="s">
        <v>857</v>
      </c>
      <c r="R27" s="7"/>
      <c r="S27" s="832"/>
      <c r="T27" s="835"/>
      <c r="U27" s="836"/>
      <c r="V27" s="832"/>
      <c r="W27" s="832"/>
      <c r="X27" s="835"/>
      <c r="Y27" s="836"/>
      <c r="Z27" s="832"/>
      <c r="AA27" s="28"/>
      <c r="AB27" s="210" t="s">
        <v>807</v>
      </c>
      <c r="AC27" s="129"/>
      <c r="AD27" s="129"/>
      <c r="AE27" s="138" t="s">
        <v>808</v>
      </c>
      <c r="AF27" s="129"/>
      <c r="AG27" s="130"/>
      <c r="AH27" s="204"/>
      <c r="AI27" s="204"/>
      <c r="AJ27" s="204"/>
      <c r="AK27" s="204"/>
      <c r="AL27" s="206"/>
    </row>
    <row r="28" spans="1:38" ht="12.75" customHeight="1">
      <c r="A28" s="140"/>
      <c r="B28" s="140"/>
      <c r="C28" s="140"/>
      <c r="D28" s="141"/>
      <c r="E28" s="142"/>
      <c r="F28" s="142"/>
      <c r="G28" s="143"/>
      <c r="H28" s="140"/>
      <c r="I28" s="28"/>
      <c r="J28" s="140"/>
      <c r="K28" s="140"/>
      <c r="L28" s="140"/>
      <c r="M28" s="141"/>
      <c r="N28" s="142"/>
      <c r="O28" s="142"/>
      <c r="P28" s="143"/>
      <c r="Q28" s="140"/>
      <c r="R28" s="28"/>
      <c r="S28" s="832"/>
      <c r="T28" s="835"/>
      <c r="U28" s="836"/>
      <c r="V28" s="832"/>
      <c r="W28" s="832"/>
      <c r="X28" s="835"/>
      <c r="Y28" s="836"/>
      <c r="Z28" s="832"/>
      <c r="AA28" s="144"/>
      <c r="AB28" s="216" t="str">
        <f>VLOOKUP(AJ4,'TOTAL - LCB'!$A$18:$AE$1019,31,FALSE)</f>
        <v>SKY ORION 2507N</v>
      </c>
      <c r="AC28" s="204"/>
      <c r="AD28" s="204"/>
      <c r="AE28" s="139" t="s">
        <v>804</v>
      </c>
      <c r="AF28" s="204"/>
      <c r="AG28" s="131"/>
      <c r="AH28" s="215"/>
      <c r="AI28" s="204"/>
      <c r="AJ28" s="204"/>
      <c r="AK28" s="204"/>
      <c r="AL28" s="206"/>
    </row>
    <row r="29" spans="1:38" ht="12.75" customHeight="1">
      <c r="A29" s="145" t="str">
        <f>VLOOKUP(G8,'TOTAL - LCB'!$A$18:$AE$1019,7,FALSE)</f>
        <v xml:space="preserve">ZHEN GUO HOU </v>
      </c>
      <c r="B29" s="146">
        <f>VLOOKUP(G8,'TOTAL - LCB'!$A$18:$AE$1019,17,FALSE)</f>
        <v>2400</v>
      </c>
      <c r="C29" s="145" t="str">
        <f>VLOOKUP(G8,'TOTAL - LCB'!$A$18:$AE$1019,18,FALSE)</f>
        <v>PLASTIC BASKETS</v>
      </c>
      <c r="D29" s="147" t="str">
        <f>VLOOKUP(G8,'TOTAL - LCB'!$A$18:$AE$1019,8,FALSE)</f>
        <v>FRESH MANGOSTEEN</v>
      </c>
      <c r="E29" s="148">
        <f>B29*E32</f>
        <v>16800</v>
      </c>
      <c r="F29" s="148">
        <f>B29*F32</f>
        <v>19920</v>
      </c>
      <c r="G29" s="149">
        <f>VLOOKUP(G8,'TOTAL - LCB'!$A$18:$AE$1019,14,FALSE)</f>
        <v>2.14</v>
      </c>
      <c r="H29" s="148">
        <f>E29*G29</f>
        <v>35952</v>
      </c>
      <c r="I29" s="144"/>
      <c r="J29" s="145" t="str">
        <f>VLOOKUP(P8,'TOTAL - LCB'!$A$18:$AE$1019,7,FALSE)</f>
        <v xml:space="preserve">ZHEN GUO HOU </v>
      </c>
      <c r="K29" s="146">
        <f>VLOOKUP(P8,'TOTAL - LCB'!$A$18:$AE$1019,17,FALSE)</f>
        <v>2400</v>
      </c>
      <c r="L29" s="145" t="str">
        <f>VLOOKUP(P8,'TOTAL - LCB'!$A$18:$AE$1019,18,FALSE)</f>
        <v>PLASTIC BASKETS</v>
      </c>
      <c r="M29" s="147" t="str">
        <f>VLOOKUP(P8,'TOTAL - LCB'!$A$18:$AE$1019,8,FALSE)</f>
        <v>FRESH MANGOSTEEN</v>
      </c>
      <c r="N29" s="148">
        <f>K29*N32</f>
        <v>16800</v>
      </c>
      <c r="O29" s="148">
        <f>K29*O32</f>
        <v>19920</v>
      </c>
      <c r="P29" s="149">
        <f>VLOOKUP(P8,'TOTAL - LCB'!$A$18:$AE$1019,13,FALSE)</f>
        <v>67</v>
      </c>
      <c r="Q29" s="148">
        <f>N29*P29</f>
        <v>1125600</v>
      </c>
      <c r="R29" s="144"/>
      <c r="S29" s="832"/>
      <c r="T29" s="835"/>
      <c r="U29" s="836"/>
      <c r="V29" s="832"/>
      <c r="W29" s="832"/>
      <c r="X29" s="835"/>
      <c r="Y29" s="836"/>
      <c r="Z29" s="832"/>
      <c r="AA29" s="150"/>
      <c r="AB29" s="210" t="s">
        <v>809</v>
      </c>
      <c r="AC29" s="129"/>
      <c r="AD29" s="130"/>
      <c r="AE29" s="138" t="s">
        <v>810</v>
      </c>
      <c r="AF29" s="129"/>
      <c r="AG29" s="129"/>
      <c r="AH29" s="151" t="s">
        <v>811</v>
      </c>
      <c r="AI29" s="151"/>
      <c r="AJ29" s="152"/>
      <c r="AK29" s="151" t="s">
        <v>812</v>
      </c>
      <c r="AL29" s="217"/>
    </row>
    <row r="30" spans="1:38" ht="12.75" customHeight="1">
      <c r="A30" s="140"/>
      <c r="B30" s="140"/>
      <c r="C30" s="140"/>
      <c r="D30" s="141"/>
      <c r="E30" s="148"/>
      <c r="F30" s="148"/>
      <c r="G30" s="140"/>
      <c r="H30" s="153"/>
      <c r="I30" s="150"/>
      <c r="J30" s="140"/>
      <c r="K30" s="140"/>
      <c r="L30" s="140"/>
      <c r="M30" s="141"/>
      <c r="N30" s="148"/>
      <c r="O30" s="148"/>
      <c r="P30" s="140"/>
      <c r="Q30" s="153"/>
      <c r="R30" s="150"/>
      <c r="S30" s="832"/>
      <c r="T30" s="835"/>
      <c r="U30" s="836"/>
      <c r="V30" s="832"/>
      <c r="W30" s="832"/>
      <c r="X30" s="835"/>
      <c r="Y30" s="836"/>
      <c r="Z30" s="832"/>
      <c r="AA30" s="7"/>
      <c r="AB30" s="218" t="str">
        <f>VLOOKUP(AJ4,'TOTAL - LCB'!$A$18:$AE$1019,30,FALSE)</f>
        <v>NANSHA</v>
      </c>
      <c r="AC30" s="126" t="s">
        <v>813</v>
      </c>
      <c r="AD30" s="238"/>
      <c r="AE30" s="126" t="str">
        <f>VLOOKUP(AJ4,'TOTAL - LCB'!$A$18:$AE$1019,30,FALSE)</f>
        <v>NANSHA</v>
      </c>
      <c r="AF30" s="126" t="s">
        <v>813</v>
      </c>
      <c r="AG30" s="126"/>
      <c r="AH30" s="126"/>
      <c r="AI30" s="126"/>
      <c r="AJ30" s="127"/>
      <c r="AK30" s="126"/>
      <c r="AL30" s="219"/>
    </row>
    <row r="31" spans="1:38" ht="12.75" customHeight="1">
      <c r="A31" s="140"/>
      <c r="B31" s="146"/>
      <c r="C31" s="145"/>
      <c r="D31" s="147"/>
      <c r="E31" s="175" t="s">
        <v>871</v>
      </c>
      <c r="F31" s="197" t="str">
        <f>VLOOKUP(G8,'TOTAL - LCB'!$A$18:$AE$1019,18,FALSE)</f>
        <v>PLASTIC BASKETS</v>
      </c>
      <c r="G31" s="149"/>
      <c r="H31" s="146"/>
      <c r="I31" s="7"/>
      <c r="J31" s="140"/>
      <c r="K31" s="146"/>
      <c r="L31" s="145"/>
      <c r="M31" s="147"/>
      <c r="N31" s="175" t="s">
        <v>871</v>
      </c>
      <c r="O31" s="197" t="str">
        <f>VLOOKUP(P8,'TOTAL - LCB'!$A$18:$AE$1019,18,FALSE)</f>
        <v>PLASTIC BASKETS</v>
      </c>
      <c r="P31" s="149"/>
      <c r="Q31" s="146"/>
      <c r="R31" s="7"/>
      <c r="S31" s="832"/>
      <c r="T31" s="835"/>
      <c r="U31" s="836"/>
      <c r="V31" s="832"/>
      <c r="W31" s="832"/>
      <c r="X31" s="835"/>
      <c r="Y31" s="836"/>
      <c r="Z31" s="832"/>
      <c r="AA31" s="7"/>
      <c r="AB31" s="216" t="s">
        <v>814</v>
      </c>
      <c r="AC31" s="204"/>
      <c r="AD31" s="204"/>
      <c r="AE31" s="154" t="s">
        <v>815</v>
      </c>
      <c r="AF31" s="204"/>
      <c r="AG31" s="204"/>
      <c r="AH31" s="215" t="s">
        <v>816</v>
      </c>
      <c r="AI31" s="215"/>
      <c r="AJ31" s="215"/>
      <c r="AK31" s="154" t="s">
        <v>817</v>
      </c>
      <c r="AL31" s="220"/>
    </row>
    <row r="32" spans="1:38" ht="12.75" customHeight="1">
      <c r="A32" s="140"/>
      <c r="B32" s="140"/>
      <c r="C32" s="140"/>
      <c r="D32" s="141"/>
      <c r="E32" s="148">
        <f>VLOOKUP(G8,'TOTAL - LCB'!$A$18:$AE$1019,16,FALSE)</f>
        <v>7</v>
      </c>
      <c r="F32" s="148">
        <f>VLOOKUP(G8,'TOTAL - LCB'!$A$18:$AE$1019,15,FALSE)</f>
        <v>8.3000000000000007</v>
      </c>
      <c r="G32" s="140"/>
      <c r="H32" s="140"/>
      <c r="I32" s="7"/>
      <c r="J32" s="140"/>
      <c r="K32" s="140"/>
      <c r="L32" s="140"/>
      <c r="M32" s="141"/>
      <c r="N32" s="148">
        <f>VLOOKUP(P8,'TOTAL - LCB'!$A$18:$AE$1019,16,FALSE)</f>
        <v>7</v>
      </c>
      <c r="O32" s="148">
        <f>VLOOKUP(P8,'TOTAL - LCB'!$A$18:$AE$1019,15,FALSE)</f>
        <v>8.3000000000000007</v>
      </c>
      <c r="P32" s="140"/>
      <c r="Q32" s="140"/>
      <c r="R32" s="7"/>
      <c r="S32" s="832"/>
      <c r="T32" s="835"/>
      <c r="U32" s="836"/>
      <c r="V32" s="832"/>
      <c r="W32" s="832"/>
      <c r="X32" s="835"/>
      <c r="Y32" s="836"/>
      <c r="Z32" s="832"/>
      <c r="AA32" s="7"/>
      <c r="AB32" s="208"/>
      <c r="AC32" s="221"/>
      <c r="AD32" s="204"/>
      <c r="AE32" s="204" t="s">
        <v>818</v>
      </c>
      <c r="AF32" s="215"/>
      <c r="AG32" s="204"/>
      <c r="AH32" s="204" t="s">
        <v>819</v>
      </c>
      <c r="AI32" s="221"/>
      <c r="AJ32" s="221"/>
      <c r="AK32" s="222">
        <f>O29</f>
        <v>19920</v>
      </c>
      <c r="AL32" s="206" t="s">
        <v>820</v>
      </c>
    </row>
    <row r="33" spans="1:38" ht="12.75" customHeight="1">
      <c r="A33" s="140"/>
      <c r="B33" s="140"/>
      <c r="C33" s="140"/>
      <c r="D33" s="141"/>
      <c r="E33" s="140"/>
      <c r="F33" s="140"/>
      <c r="G33" s="140"/>
      <c r="H33" s="140"/>
      <c r="I33" s="7"/>
      <c r="J33" s="140"/>
      <c r="K33" s="140"/>
      <c r="L33" s="140"/>
      <c r="M33" s="141"/>
      <c r="N33" s="140"/>
      <c r="O33" s="140"/>
      <c r="P33" s="140"/>
      <c r="Q33" s="140"/>
      <c r="R33" s="7"/>
      <c r="S33" s="832"/>
      <c r="T33" s="835"/>
      <c r="U33" s="836"/>
      <c r="V33" s="832"/>
      <c r="W33" s="832"/>
      <c r="X33" s="835"/>
      <c r="Y33" s="836"/>
      <c r="Z33" s="832"/>
      <c r="AA33" s="7"/>
      <c r="AB33" s="208" t="str">
        <f>VLOOKUP(AJ4,'TOTAL - LCB'!$A$18:$AE$1019,10,FALSE)</f>
        <v>FSCU5871246</v>
      </c>
      <c r="AC33" s="204"/>
      <c r="AD33" s="204"/>
      <c r="AE33" s="204"/>
      <c r="AF33" s="204"/>
      <c r="AG33" s="204"/>
      <c r="AH33" s="204" t="s">
        <v>821</v>
      </c>
      <c r="AI33" s="221"/>
      <c r="AJ33" s="221"/>
      <c r="AK33" s="221"/>
      <c r="AL33" s="206"/>
    </row>
    <row r="34" spans="1:38" ht="12.75" customHeight="1">
      <c r="A34" s="140"/>
      <c r="B34" s="140"/>
      <c r="C34" s="140"/>
      <c r="D34" s="141"/>
      <c r="E34" s="148"/>
      <c r="F34" s="148"/>
      <c r="G34" s="140"/>
      <c r="H34" s="140"/>
      <c r="I34" s="7"/>
      <c r="J34" s="140"/>
      <c r="K34" s="140"/>
      <c r="L34" s="140"/>
      <c r="M34" s="141"/>
      <c r="N34" s="148"/>
      <c r="O34" s="148"/>
      <c r="P34" s="140"/>
      <c r="Q34" s="140"/>
      <c r="R34" s="7"/>
      <c r="S34" s="832"/>
      <c r="T34" s="835"/>
      <c r="U34" s="836"/>
      <c r="V34" s="832"/>
      <c r="W34" s="832"/>
      <c r="X34" s="835"/>
      <c r="Y34" s="836"/>
      <c r="Z34" s="832"/>
      <c r="AA34" s="7"/>
      <c r="AB34" s="208" t="s">
        <v>822</v>
      </c>
      <c r="AC34" s="204" t="str">
        <f>VLOOKUP(AJ4,'TOTAL - LCB'!$A$18:$AE$1019,11,FALSE)</f>
        <v>KMC681781</v>
      </c>
      <c r="AD34" s="204"/>
      <c r="AE34" s="221"/>
      <c r="AF34" s="204"/>
      <c r="AG34" s="204"/>
      <c r="AH34" s="204" t="s">
        <v>823</v>
      </c>
      <c r="AI34" s="221"/>
      <c r="AJ34" s="221"/>
      <c r="AK34" s="221"/>
      <c r="AL34" s="206"/>
    </row>
    <row r="35" spans="1:38" ht="12.75" customHeight="1">
      <c r="A35" s="140"/>
      <c r="B35" s="140"/>
      <c r="C35" s="140"/>
      <c r="D35" s="141"/>
      <c r="E35" s="140"/>
      <c r="F35" s="140"/>
      <c r="G35" s="140"/>
      <c r="H35" s="140"/>
      <c r="I35" s="7"/>
      <c r="J35" s="140"/>
      <c r="K35" s="140"/>
      <c r="L35" s="140"/>
      <c r="M35" s="141"/>
      <c r="N35" s="140"/>
      <c r="O35" s="140"/>
      <c r="P35" s="140"/>
      <c r="Q35" s="140"/>
      <c r="R35" s="7"/>
      <c r="S35" s="833"/>
      <c r="T35" s="828"/>
      <c r="U35" s="829"/>
      <c r="V35" s="833"/>
      <c r="W35" s="833"/>
      <c r="X35" s="828"/>
      <c r="Y35" s="829"/>
      <c r="Z35" s="833"/>
      <c r="AA35" s="7"/>
      <c r="AB35" s="208"/>
      <c r="AC35" s="221"/>
      <c r="AD35" s="204"/>
      <c r="AE35" s="221"/>
      <c r="AF35" s="204"/>
      <c r="AG35" s="204"/>
      <c r="AH35" s="204"/>
      <c r="AI35" s="221"/>
      <c r="AJ35" s="204"/>
      <c r="AK35" s="221"/>
      <c r="AL35" s="206"/>
    </row>
    <row r="36" spans="1:38" ht="12.75" customHeight="1">
      <c r="A36" s="140"/>
      <c r="B36" s="140"/>
      <c r="C36" s="140"/>
      <c r="D36" s="141"/>
      <c r="E36" s="140"/>
      <c r="F36" s="140"/>
      <c r="G36" s="140"/>
      <c r="H36" s="140"/>
      <c r="I36" s="7"/>
      <c r="J36" s="140"/>
      <c r="K36" s="140"/>
      <c r="L36" s="140"/>
      <c r="M36" s="141"/>
      <c r="N36" s="140"/>
      <c r="O36" s="140"/>
      <c r="P36" s="140"/>
      <c r="Q36" s="140"/>
      <c r="R36" s="7"/>
      <c r="S36" s="819" t="s">
        <v>824</v>
      </c>
      <c r="T36" s="820"/>
      <c r="U36" s="821"/>
      <c r="V36" s="155">
        <f t="shared" ref="V36:W36" si="0">V26</f>
        <v>2400</v>
      </c>
      <c r="W36" s="156">
        <f t="shared" si="0"/>
        <v>16800</v>
      </c>
      <c r="X36" s="822"/>
      <c r="Y36" s="821"/>
      <c r="Z36" s="156">
        <f>Z26</f>
        <v>1125600</v>
      </c>
      <c r="AA36" s="157"/>
      <c r="AB36" s="223"/>
      <c r="AC36" s="204"/>
      <c r="AD36" s="204"/>
      <c r="AE36" s="221"/>
      <c r="AF36" s="204"/>
      <c r="AG36" s="204"/>
      <c r="AH36" s="204" t="str">
        <f>VLOOKUP(AJ4,'TOTAL - LCB'!$A$18:$AE$1019,8,FALSE)</f>
        <v>FRESH MANGOSTEEN</v>
      </c>
      <c r="AI36" s="221"/>
      <c r="AJ36" s="221"/>
      <c r="AK36" s="221"/>
      <c r="AL36" s="224"/>
    </row>
    <row r="37" spans="1:38" ht="12.75" customHeight="1">
      <c r="A37" s="140"/>
      <c r="B37" s="140"/>
      <c r="C37" s="140"/>
      <c r="D37" s="141"/>
      <c r="E37" s="140"/>
      <c r="F37" s="140"/>
      <c r="G37" s="140"/>
      <c r="H37" s="140"/>
      <c r="I37" s="28"/>
      <c r="J37" s="140"/>
      <c r="K37" s="140"/>
      <c r="L37" s="140"/>
      <c r="M37" s="141"/>
      <c r="N37" s="140"/>
      <c r="O37" s="140"/>
      <c r="P37" s="140"/>
      <c r="Q37" s="140"/>
      <c r="R37" s="28"/>
      <c r="S37" s="7"/>
      <c r="T37" s="7"/>
      <c r="U37" s="7"/>
      <c r="V37" s="7"/>
      <c r="W37" s="7"/>
      <c r="X37" s="7"/>
      <c r="Y37" s="7"/>
      <c r="Z37" s="7"/>
      <c r="AA37" s="7"/>
      <c r="AB37" s="216" t="s">
        <v>825</v>
      </c>
      <c r="AC37" s="221"/>
      <c r="AD37" s="204"/>
      <c r="AE37" s="221"/>
      <c r="AF37" s="204"/>
      <c r="AG37" s="204"/>
      <c r="AH37" s="225">
        <f>VLOOKUP(AJ4,'TOTAL - LCB'!$A$18:$AE$1019,17,FALSE)</f>
        <v>2400</v>
      </c>
      <c r="AI37" s="204" t="str">
        <f>VLOOKUP(AJ4,'TOTAL - LCB'!$A$18:$AE$1019,18,FALSE)</f>
        <v>PLASTIC BASKETS</v>
      </c>
      <c r="AJ37" s="204"/>
      <c r="AK37" s="204"/>
      <c r="AL37" s="206"/>
    </row>
    <row r="38" spans="1:38" ht="12.75" customHeight="1">
      <c r="A38" s="158" t="s">
        <v>824</v>
      </c>
      <c r="B38" s="159">
        <f t="shared" ref="B38:C38" si="1">B29</f>
        <v>2400</v>
      </c>
      <c r="C38" s="160" t="str">
        <f t="shared" si="1"/>
        <v>PLASTIC BASKETS</v>
      </c>
      <c r="D38" s="161"/>
      <c r="E38" s="156">
        <f t="shared" ref="E38:F38" si="2">E29</f>
        <v>16800</v>
      </c>
      <c r="F38" s="156">
        <f t="shared" si="2"/>
        <v>19920</v>
      </c>
      <c r="G38" s="160"/>
      <c r="H38" s="156">
        <f>H29</f>
        <v>35952</v>
      </c>
      <c r="I38" s="7"/>
      <c r="J38" s="158" t="s">
        <v>824</v>
      </c>
      <c r="K38" s="159">
        <f t="shared" ref="K38:L38" si="3">K29</f>
        <v>2400</v>
      </c>
      <c r="L38" s="160" t="str">
        <f t="shared" si="3"/>
        <v>PLASTIC BASKETS</v>
      </c>
      <c r="M38" s="161"/>
      <c r="N38" s="156">
        <f t="shared" ref="N38:O38" si="4">N29</f>
        <v>16800</v>
      </c>
      <c r="O38" s="156">
        <f t="shared" si="4"/>
        <v>19920</v>
      </c>
      <c r="P38" s="160"/>
      <c r="Q38" s="156">
        <f>Q29</f>
        <v>1125600</v>
      </c>
      <c r="R38" s="7"/>
      <c r="S38" s="7" t="s">
        <v>826</v>
      </c>
      <c r="T38" s="7"/>
      <c r="U38" s="7"/>
      <c r="V38" s="32"/>
      <c r="W38" s="7"/>
      <c r="X38" s="7"/>
      <c r="Y38" s="7"/>
      <c r="Z38" s="7"/>
      <c r="AA38" s="7"/>
      <c r="AB38" s="208"/>
      <c r="AC38" s="204"/>
      <c r="AD38" s="204"/>
      <c r="AE38" s="221"/>
      <c r="AF38" s="204"/>
      <c r="AG38" s="204"/>
      <c r="AH38" s="204"/>
      <c r="AI38" s="222"/>
      <c r="AJ38" s="204"/>
      <c r="AK38" s="204"/>
      <c r="AL38" s="206"/>
    </row>
    <row r="39" spans="1:38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 t="s">
        <v>827</v>
      </c>
      <c r="T39" s="7"/>
      <c r="U39" s="7" t="str">
        <f>VLOOKUP(Y8,'TOTAL - LCB'!$A$18:$AE$1019,31,FALSE)</f>
        <v>SKY ORION 2507N</v>
      </c>
      <c r="V39" s="7"/>
      <c r="W39" s="7"/>
      <c r="X39" s="7"/>
      <c r="Y39" s="7"/>
      <c r="Z39" s="7"/>
      <c r="AA39" s="7"/>
      <c r="AB39" s="208" t="str">
        <f>VLOOKUP(AJ4,'TOTAL - LCB'!$A$18:$AE$1019,7,FALSE)</f>
        <v xml:space="preserve">ZHEN GUO HOU </v>
      </c>
      <c r="AC39" s="221"/>
      <c r="AD39" s="204"/>
      <c r="AE39" s="221"/>
      <c r="AF39" s="204"/>
      <c r="AG39" s="204"/>
      <c r="AH39" s="204"/>
      <c r="AI39" s="204"/>
      <c r="AJ39" s="204"/>
      <c r="AK39" s="204"/>
      <c r="AL39" s="206"/>
    </row>
    <row r="40" spans="1:38" ht="12.75" customHeight="1">
      <c r="A40" s="7"/>
      <c r="B40" s="7"/>
      <c r="C40" s="7"/>
      <c r="D40" s="32"/>
      <c r="E40" s="7"/>
      <c r="F40" s="7"/>
      <c r="G40" s="7"/>
      <c r="H40" s="7"/>
      <c r="I40" s="7"/>
      <c r="J40" s="7"/>
      <c r="K40" s="7"/>
      <c r="L40" s="7"/>
      <c r="M40" s="32"/>
      <c r="N40" s="7"/>
      <c r="O40" s="7"/>
      <c r="P40" s="7"/>
      <c r="Q40" s="7"/>
      <c r="R40" s="7"/>
      <c r="S40" s="123" t="s">
        <v>1650</v>
      </c>
      <c r="T40" s="7"/>
      <c r="U40" s="7" t="str">
        <f>VLOOKUP(Y8,'TOTAL - LCB'!$A$18:$AE$1019,30,FALSE)</f>
        <v>NANSHA</v>
      </c>
      <c r="V40" s="32"/>
      <c r="W40" s="7"/>
      <c r="X40" s="7"/>
      <c r="Y40" s="7"/>
      <c r="Z40" s="7"/>
      <c r="AA40" s="7"/>
      <c r="AB40" s="208"/>
      <c r="AC40" s="221"/>
      <c r="AD40" s="204"/>
      <c r="AE40" s="221"/>
      <c r="AF40" s="204"/>
      <c r="AG40" s="204"/>
      <c r="AH40" s="204" t="s">
        <v>829</v>
      </c>
      <c r="AI40" s="195">
        <f>VLOOKUP(AJ4,'TOTAL - LCB'!$A$18:$AE$1019,19,FALSE)</f>
        <v>12</v>
      </c>
      <c r="AJ40" s="226" t="s">
        <v>830</v>
      </c>
      <c r="AK40" s="204"/>
      <c r="AL40" s="206"/>
    </row>
    <row r="41" spans="1:38" ht="12.75" customHeight="1">
      <c r="A41" s="7" t="s">
        <v>827</v>
      </c>
      <c r="B41" s="7"/>
      <c r="C41" s="7" t="str">
        <f>VLOOKUP(G8,'TOTAL - LCB'!$A$18:$AE$1019,31,FALSE)</f>
        <v>SKY ORION 2507N</v>
      </c>
      <c r="D41" s="7"/>
      <c r="E41" s="41" t="s">
        <v>831</v>
      </c>
      <c r="F41" s="112">
        <f>VLOOKUP(G8,'TOTAL - LCB'!$A$18:$AE$1019,28,FALSE)</f>
        <v>45817</v>
      </c>
      <c r="G41" s="7"/>
      <c r="H41" s="7"/>
      <c r="I41" s="7"/>
      <c r="J41" s="7" t="s">
        <v>827</v>
      </c>
      <c r="K41" s="7"/>
      <c r="L41" s="7" t="str">
        <f>VLOOKUP(P8,'TOTAL - LCB'!$A$18:$AE$1019,31,FALSE)</f>
        <v>SKY ORION 2507N</v>
      </c>
      <c r="M41" s="41"/>
      <c r="N41" s="41"/>
      <c r="O41" s="112"/>
      <c r="P41" s="7"/>
      <c r="Q41" s="7"/>
      <c r="R41" s="7"/>
      <c r="S41" s="32" t="s">
        <v>832</v>
      </c>
      <c r="T41" s="7"/>
      <c r="U41" s="7"/>
      <c r="V41" s="7" t="str">
        <f>VLOOKUP(Y8,'TOTAL - LCB'!$A$18:$AE$1019,30,FALSE)</f>
        <v>NANSHA</v>
      </c>
      <c r="W41" s="7"/>
      <c r="X41" s="7"/>
      <c r="Y41" s="7"/>
      <c r="Z41" s="7"/>
      <c r="AA41" s="7"/>
      <c r="AB41" s="208"/>
      <c r="AC41" s="221"/>
      <c r="AD41" s="204"/>
      <c r="AE41" s="221"/>
      <c r="AF41" s="204"/>
      <c r="AG41" s="221"/>
      <c r="AH41" s="204" t="s">
        <v>833</v>
      </c>
      <c r="AI41" s="227" t="str">
        <f>VLOOKUP(AJ4,'TOTAL - LCB'!$A$18:$AE$1019,20,FALSE)</f>
        <v>5%</v>
      </c>
      <c r="AJ41" s="204"/>
      <c r="AK41" s="204"/>
      <c r="AL41" s="206"/>
    </row>
    <row r="42" spans="1:38" ht="12.75" customHeight="1">
      <c r="A42" s="123" t="s">
        <v>834</v>
      </c>
      <c r="B42" s="7"/>
      <c r="C42" s="7" t="s">
        <v>804</v>
      </c>
      <c r="D42" s="32"/>
      <c r="E42" s="7"/>
      <c r="F42" s="7"/>
      <c r="G42" s="7"/>
      <c r="H42" s="7"/>
      <c r="I42" s="7"/>
      <c r="J42" s="123" t="s">
        <v>1650</v>
      </c>
      <c r="K42" s="7"/>
      <c r="L42" s="7" t="str">
        <f>VLOOKUP(P8,'TOTAL - LCB'!$A$18:$AE$1019,30,FALSE)</f>
        <v>NANSHA</v>
      </c>
      <c r="M42" s="32"/>
      <c r="N42" s="7"/>
      <c r="O42" s="7"/>
      <c r="P42" s="7"/>
      <c r="Q42" s="7"/>
      <c r="R42" s="7"/>
      <c r="S42" s="7" t="s">
        <v>835</v>
      </c>
      <c r="T42" s="7"/>
      <c r="U42" s="7" t="str">
        <f>VLOOKUP(Y8,'TOTAL - LCB'!$A$18:$AE$1019,10,FALSE)</f>
        <v>FSCU5871246</v>
      </c>
      <c r="V42" s="7"/>
      <c r="W42" s="7"/>
      <c r="X42" s="7"/>
      <c r="Y42" s="7"/>
      <c r="Z42" s="7"/>
      <c r="AA42" s="7"/>
      <c r="AB42" s="208"/>
      <c r="AC42" s="221"/>
      <c r="AD42" s="204"/>
      <c r="AE42" s="221"/>
      <c r="AF42" s="204"/>
      <c r="AG42" s="221"/>
      <c r="AH42" s="204"/>
      <c r="AI42" s="221"/>
      <c r="AJ42" s="204"/>
      <c r="AK42" s="204"/>
      <c r="AL42" s="206"/>
    </row>
    <row r="43" spans="1:38" ht="12.75" customHeight="1">
      <c r="A43" s="32" t="s">
        <v>832</v>
      </c>
      <c r="B43" s="7"/>
      <c r="C43" s="7"/>
      <c r="D43" s="7" t="str">
        <f>VLOOKUP(G8,'TOTAL - LCB'!$A$18:$AE$1019,30,FALSE)</f>
        <v>NANSHA</v>
      </c>
      <c r="E43" s="7"/>
      <c r="F43" s="7"/>
      <c r="G43" s="7"/>
      <c r="H43" s="7"/>
      <c r="I43" s="7"/>
      <c r="J43" s="32" t="s">
        <v>832</v>
      </c>
      <c r="K43" s="7"/>
      <c r="L43" s="7"/>
      <c r="M43" s="7" t="str">
        <f>VLOOKUP(P8,'TOTAL - LCB'!$A$18:$AE$1019,30,FALSE)</f>
        <v>NANSHA</v>
      </c>
      <c r="N43" s="7"/>
      <c r="O43" s="7"/>
      <c r="P43" s="7"/>
      <c r="Q43" s="7"/>
      <c r="R43" s="7"/>
      <c r="S43" s="7"/>
      <c r="T43" s="7"/>
      <c r="U43" s="162"/>
      <c r="V43" s="7"/>
      <c r="W43" s="7"/>
      <c r="X43" s="7"/>
      <c r="Y43" s="7"/>
      <c r="Z43" s="7"/>
      <c r="AA43" s="7"/>
      <c r="AB43" s="208"/>
      <c r="AC43" s="221"/>
      <c r="AD43" s="204"/>
      <c r="AE43" s="221"/>
      <c r="AF43" s="204"/>
      <c r="AG43" s="221"/>
      <c r="AH43" s="204"/>
      <c r="AI43" s="221"/>
      <c r="AJ43" s="204"/>
      <c r="AK43" s="204"/>
      <c r="AL43" s="206"/>
    </row>
    <row r="44" spans="1:38" ht="12.75" customHeight="1">
      <c r="A44" s="7" t="s">
        <v>835</v>
      </c>
      <c r="B44" s="7"/>
      <c r="C44" s="7" t="str">
        <f>VLOOKUP(G8,'TOTAL - LCB'!$A$18:$AE$1019,10,FALSE)</f>
        <v>FSCU5871246</v>
      </c>
      <c r="D44" s="7"/>
      <c r="E44" s="7"/>
      <c r="F44" s="7"/>
      <c r="G44" s="7"/>
      <c r="H44" s="7"/>
      <c r="I44" s="7"/>
      <c r="J44" s="7" t="s">
        <v>835</v>
      </c>
      <c r="K44" s="7"/>
      <c r="L44" s="7" t="str">
        <f>VLOOKUP(P8,'TOTAL - LCB'!$A$18:$AE$1019,10,FALSE)</f>
        <v>FSCU5871246</v>
      </c>
      <c r="M44" s="7"/>
      <c r="N44" s="7"/>
      <c r="O44" s="7"/>
      <c r="P44" s="7"/>
      <c r="Q44" s="7"/>
      <c r="R44" s="7"/>
      <c r="S44" s="7" t="s">
        <v>824</v>
      </c>
      <c r="T44" s="7"/>
      <c r="U44" s="42">
        <f>VLOOKUP(Y8,'TOTAL - LCB'!$A$18:$AE$1019,17,FALSE)</f>
        <v>2400</v>
      </c>
      <c r="V44" s="7" t="str">
        <f>VLOOKUP(G8,'TOTAL - LCB'!$A$18:$AE$1019,18,FALSE)</f>
        <v>PLASTIC BASKETS</v>
      </c>
      <c r="W44" s="7"/>
      <c r="X44" s="7"/>
      <c r="Y44" s="7"/>
      <c r="Z44" s="7"/>
      <c r="AA44" s="7"/>
      <c r="AB44" s="208"/>
      <c r="AC44" s="221"/>
      <c r="AD44" s="204"/>
      <c r="AE44" s="221"/>
      <c r="AF44" s="204"/>
      <c r="AG44" s="221"/>
      <c r="AH44" s="204" t="s">
        <v>836</v>
      </c>
      <c r="AI44" s="221"/>
      <c r="AJ44" s="204"/>
      <c r="AK44" s="204"/>
      <c r="AL44" s="206"/>
    </row>
    <row r="45" spans="1:38" ht="12.75" customHeight="1">
      <c r="A45" s="7"/>
      <c r="B45" s="7"/>
      <c r="C45" s="162"/>
      <c r="D45" s="7"/>
      <c r="E45" s="7"/>
      <c r="F45" s="7"/>
      <c r="G45" s="7"/>
      <c r="H45" s="7"/>
      <c r="I45" s="7"/>
      <c r="J45" s="7"/>
      <c r="K45" s="7"/>
      <c r="L45" s="162"/>
      <c r="M45" s="7"/>
      <c r="N45" s="7"/>
      <c r="O45" s="7"/>
      <c r="P45" s="7"/>
      <c r="Q45" s="7"/>
      <c r="R45" s="7"/>
      <c r="S45" s="7" t="s">
        <v>837</v>
      </c>
      <c r="T45" s="7"/>
      <c r="U45" s="39">
        <f>N29</f>
        <v>16800</v>
      </c>
      <c r="V45" s="7" t="s">
        <v>838</v>
      </c>
      <c r="W45" s="7"/>
      <c r="X45" s="7"/>
      <c r="Y45" s="7"/>
      <c r="Z45" s="7"/>
      <c r="AA45" s="7"/>
      <c r="AB45" s="208"/>
      <c r="AC45" s="221"/>
      <c r="AD45" s="204"/>
      <c r="AE45" s="221"/>
      <c r="AF45" s="204"/>
      <c r="AG45" s="221"/>
      <c r="AH45" s="204" t="s">
        <v>839</v>
      </c>
      <c r="AI45" s="221"/>
      <c r="AJ45" s="204"/>
      <c r="AK45" s="204"/>
      <c r="AL45" s="206"/>
    </row>
    <row r="46" spans="1:38" ht="12.75" customHeight="1">
      <c r="A46" s="7" t="s">
        <v>824</v>
      </c>
      <c r="B46" s="7"/>
      <c r="C46" s="42">
        <f>VLOOKUP(G8,'TOTAL - LCB'!$A$18:$AE$1019,17,FALSE)</f>
        <v>2400</v>
      </c>
      <c r="D46" s="7" t="str">
        <f>VLOOKUP(G8,'TOTAL - LCB'!$A$18:$AE$1019,18,FALSE)</f>
        <v>PLASTIC BASKETS</v>
      </c>
      <c r="E46" s="7"/>
      <c r="F46" s="7"/>
      <c r="G46" s="7"/>
      <c r="H46" s="7"/>
      <c r="I46" s="7"/>
      <c r="J46" s="7" t="s">
        <v>824</v>
      </c>
      <c r="K46" s="7"/>
      <c r="L46" s="42">
        <f>VLOOKUP(P8,'TOTAL - LCB'!$A$18:$AE$1019,17,FALSE)</f>
        <v>2400</v>
      </c>
      <c r="M46" s="7" t="str">
        <f>VLOOKUP(G8,'TOTAL - LCB'!$A$18:$AE$1019,18,FALSE)</f>
        <v>PLASTIC BASKETS</v>
      </c>
      <c r="N46" s="7"/>
      <c r="O46" s="7"/>
      <c r="P46" s="7"/>
      <c r="Q46" s="7"/>
      <c r="R46" s="7"/>
      <c r="S46" s="7" t="s">
        <v>840</v>
      </c>
      <c r="T46" s="7"/>
      <c r="U46" s="39">
        <f>O29</f>
        <v>19920</v>
      </c>
      <c r="V46" s="7" t="s">
        <v>838</v>
      </c>
      <c r="W46" s="7"/>
      <c r="X46" s="7"/>
      <c r="Y46" s="7"/>
      <c r="Z46" s="7"/>
      <c r="AA46" s="7"/>
      <c r="AB46" s="208"/>
      <c r="AC46" s="221"/>
      <c r="AD46" s="204"/>
      <c r="AE46" s="221"/>
      <c r="AF46" s="204"/>
      <c r="AG46" s="221"/>
      <c r="AH46" s="204" t="s">
        <v>841</v>
      </c>
      <c r="AI46" s="221"/>
      <c r="AJ46" s="204"/>
      <c r="AK46" s="204"/>
      <c r="AL46" s="206"/>
    </row>
    <row r="47" spans="1:38" ht="12.75" customHeight="1">
      <c r="A47" s="7" t="s">
        <v>837</v>
      </c>
      <c r="B47" s="7"/>
      <c r="C47" s="39">
        <f>E29</f>
        <v>16800</v>
      </c>
      <c r="D47" s="7" t="s">
        <v>838</v>
      </c>
      <c r="E47" s="7"/>
      <c r="F47" s="7"/>
      <c r="G47" s="7"/>
      <c r="H47" s="7"/>
      <c r="I47" s="7"/>
      <c r="J47" s="7" t="s">
        <v>837</v>
      </c>
      <c r="K47" s="7"/>
      <c r="L47" s="39">
        <f>N29</f>
        <v>16800</v>
      </c>
      <c r="M47" s="7" t="s">
        <v>838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208"/>
      <c r="AC47" s="221"/>
      <c r="AD47" s="204"/>
      <c r="AE47" s="221"/>
      <c r="AF47" s="204"/>
      <c r="AG47" s="221"/>
      <c r="AH47" s="204"/>
      <c r="AI47" s="204"/>
      <c r="AJ47" s="204"/>
      <c r="AK47" s="204"/>
      <c r="AL47" s="206"/>
    </row>
    <row r="48" spans="1:38" ht="12.75" customHeight="1">
      <c r="A48" s="7" t="s">
        <v>840</v>
      </c>
      <c r="B48" s="7"/>
      <c r="C48" s="39">
        <f>F29</f>
        <v>19920</v>
      </c>
      <c r="D48" s="7" t="s">
        <v>838</v>
      </c>
      <c r="E48" s="7"/>
      <c r="F48" s="7"/>
      <c r="G48" s="7"/>
      <c r="H48" s="7"/>
      <c r="I48" s="7"/>
      <c r="J48" s="7" t="s">
        <v>840</v>
      </c>
      <c r="K48" s="7"/>
      <c r="L48" s="39">
        <f>O29</f>
        <v>19920</v>
      </c>
      <c r="M48" s="7" t="s">
        <v>838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216" t="s">
        <v>842</v>
      </c>
      <c r="AC48" s="221"/>
      <c r="AD48" s="204"/>
      <c r="AE48" s="221"/>
      <c r="AF48" s="204"/>
      <c r="AG48" s="221"/>
      <c r="AH48" s="204"/>
      <c r="AI48" s="204"/>
      <c r="AJ48" s="204"/>
      <c r="AK48" s="204"/>
      <c r="AL48" s="206"/>
    </row>
    <row r="49" spans="1:38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228" t="s">
        <v>843</v>
      </c>
      <c r="AC49" s="163"/>
      <c r="AD49" s="126"/>
      <c r="AE49" s="126"/>
      <c r="AF49" s="126"/>
      <c r="AG49" s="126"/>
      <c r="AH49" s="126"/>
      <c r="AI49" s="204"/>
      <c r="AJ49" s="204"/>
      <c r="AK49" s="204"/>
      <c r="AL49" s="206"/>
    </row>
    <row r="50" spans="1:38" ht="12.75" customHeight="1">
      <c r="A50" s="7" t="s">
        <v>829</v>
      </c>
      <c r="B50" s="30">
        <f>VLOOKUP(G8,'TOTAL - LCB'!$A$18:$AE$1019,19,FALSE)</f>
        <v>12</v>
      </c>
      <c r="C50" s="7" t="s">
        <v>830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216" t="s">
        <v>844</v>
      </c>
      <c r="AC50" s="221"/>
      <c r="AD50" s="204"/>
      <c r="AE50" s="204"/>
      <c r="AF50" s="204"/>
      <c r="AG50" s="204"/>
      <c r="AH50" s="204"/>
      <c r="AI50" s="129"/>
      <c r="AJ50" s="129"/>
      <c r="AK50" s="129"/>
      <c r="AL50" s="229"/>
    </row>
    <row r="51" spans="1:38" ht="12.75" customHeight="1">
      <c r="A51" s="7" t="s">
        <v>833</v>
      </c>
      <c r="B51" s="63" t="str">
        <f>VLOOKUP(G8,'TOTAL - LCB'!$A$18:$AE$1019,20,FALSE)</f>
        <v>5%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230">
        <f>VLOOKUP(AJ4,'TOTAL - LCB'!$A$18:$AE$1019,17,FALSE)</f>
        <v>2400</v>
      </c>
      <c r="AC51" s="163" t="str">
        <f>VLOOKUP(AJ4,'TOTAL - LCB'!$A$18:$AE$1019,18,FALSE)</f>
        <v>PLASTIC BASKETS</v>
      </c>
      <c r="AD51" s="126"/>
      <c r="AE51" s="126"/>
      <c r="AF51" s="126"/>
      <c r="AG51" s="126"/>
      <c r="AH51" s="126"/>
      <c r="AI51" s="126"/>
      <c r="AJ51" s="126"/>
      <c r="AK51" s="126"/>
      <c r="AL51" s="219"/>
    </row>
    <row r="52" spans="1:38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216" t="s">
        <v>845</v>
      </c>
      <c r="AC52" s="221"/>
      <c r="AD52" s="204"/>
      <c r="AE52" s="204"/>
      <c r="AF52" s="204"/>
      <c r="AG52" s="204"/>
      <c r="AH52" s="151" t="s">
        <v>846</v>
      </c>
      <c r="AI52" s="129"/>
      <c r="AJ52" s="129"/>
      <c r="AK52" s="129"/>
      <c r="AL52" s="229"/>
    </row>
    <row r="53" spans="1:38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216"/>
      <c r="AC53" s="204"/>
      <c r="AD53" s="204"/>
      <c r="AE53" s="204"/>
      <c r="AF53" s="204"/>
      <c r="AG53" s="204"/>
      <c r="AH53" s="204"/>
      <c r="AI53" s="204"/>
      <c r="AJ53" s="204"/>
      <c r="AK53" s="204"/>
      <c r="AL53" s="206"/>
    </row>
    <row r="54" spans="1:38" ht="12.75" customHeight="1" thickBo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208"/>
      <c r="AC54" s="204"/>
      <c r="AD54" s="204"/>
      <c r="AE54" s="204"/>
      <c r="AF54" s="204"/>
      <c r="AG54" s="204"/>
      <c r="AH54" s="204"/>
      <c r="AI54" s="204"/>
      <c r="AJ54" s="204"/>
      <c r="AK54" s="204"/>
      <c r="AL54" s="206"/>
    </row>
    <row r="55" spans="1:38" ht="12.75" customHeight="1">
      <c r="A55" s="164"/>
      <c r="B55" s="165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823"/>
      <c r="AC55" s="824"/>
      <c r="AD55" s="824"/>
      <c r="AE55" s="824"/>
      <c r="AF55" s="824"/>
      <c r="AG55" s="824"/>
      <c r="AH55" s="204"/>
      <c r="AI55" s="204"/>
      <c r="AJ55" s="204"/>
      <c r="AK55" s="204"/>
      <c r="AL55" s="206"/>
    </row>
    <row r="56" spans="1:38" ht="12.6" customHeight="1">
      <c r="A56" s="166" t="s">
        <v>184</v>
      </c>
      <c r="B56" s="167" t="str">
        <f>VLOOKUP(G8,'TOTAL - LCB'!$A$18:$AE$1019,5,FALSE)</f>
        <v>ล้งเฮียกุ่ย(มะขาม)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208"/>
      <c r="AC56" s="204"/>
      <c r="AD56" s="204"/>
      <c r="AE56" s="204"/>
      <c r="AF56" s="204"/>
      <c r="AG56" s="204"/>
      <c r="AH56" s="168" t="s">
        <v>847</v>
      </c>
      <c r="AI56" s="126"/>
      <c r="AJ56" s="126"/>
      <c r="AK56" s="126"/>
      <c r="AL56" s="219"/>
    </row>
    <row r="57" spans="1:38" ht="12.75" customHeight="1" thickBot="1">
      <c r="A57" s="169"/>
      <c r="B57" s="170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231"/>
      <c r="AC57" s="204"/>
      <c r="AD57" s="204"/>
      <c r="AE57" s="204"/>
      <c r="AF57" s="204"/>
      <c r="AG57" s="204"/>
      <c r="AH57" s="129"/>
      <c r="AI57" s="204"/>
      <c r="AJ57" s="204"/>
      <c r="AK57" s="204"/>
      <c r="AL57" s="206"/>
    </row>
    <row r="58" spans="1:38" ht="12.75" customHeight="1" thickBo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232"/>
      <c r="AC58" s="233"/>
      <c r="AD58" s="233"/>
      <c r="AE58" s="233"/>
      <c r="AF58" s="233"/>
      <c r="AG58" s="233"/>
      <c r="AH58" s="233" t="s">
        <v>848</v>
      </c>
      <c r="AI58" s="233"/>
      <c r="AJ58" s="233"/>
      <c r="AK58" s="233"/>
      <c r="AL58" s="234"/>
    </row>
    <row r="59" spans="1:38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</row>
    <row r="60" spans="1:38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</row>
    <row r="61" spans="1:38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</row>
    <row r="62" spans="1:38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</row>
    <row r="63" spans="1:38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</row>
    <row r="64" spans="1:38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</row>
    <row r="65" spans="1:38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</row>
    <row r="66" spans="1:38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</row>
    <row r="67" spans="1:38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</row>
    <row r="68" spans="1:3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</row>
    <row r="69" spans="1:38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</row>
    <row r="70" spans="1:38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</row>
    <row r="71" spans="1:38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</row>
    <row r="72" spans="1:38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</row>
    <row r="73" spans="1:38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</row>
    <row r="74" spans="1:38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</row>
    <row r="75" spans="1:38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</row>
    <row r="76" spans="1:38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</row>
    <row r="77" spans="1:38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</row>
    <row r="78" spans="1:3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</row>
    <row r="79" spans="1:38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</row>
    <row r="80" spans="1:38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</row>
    <row r="81" spans="1:38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</row>
    <row r="82" spans="1:38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</row>
    <row r="83" spans="1:38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</row>
    <row r="84" spans="1:38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</row>
    <row r="85" spans="1:38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</row>
    <row r="86" spans="1:38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</row>
    <row r="87" spans="1:38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</row>
    <row r="88" spans="1:3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</row>
    <row r="89" spans="1:38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</row>
    <row r="90" spans="1:38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</row>
    <row r="91" spans="1:38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</row>
    <row r="92" spans="1:38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</row>
    <row r="93" spans="1:38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</row>
    <row r="94" spans="1:38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</row>
    <row r="95" spans="1:38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</row>
    <row r="96" spans="1:38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</row>
    <row r="97" spans="1:38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</row>
    <row r="98" spans="1:3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</row>
    <row r="99" spans="1:38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</row>
    <row r="100" spans="1:38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</row>
    <row r="101" spans="1:38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</row>
    <row r="102" spans="1:38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</row>
    <row r="103" spans="1:38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</row>
    <row r="104" spans="1:38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</row>
    <row r="105" spans="1:38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</row>
    <row r="106" spans="1:38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</row>
    <row r="107" spans="1:38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</row>
    <row r="108" spans="1:3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</row>
    <row r="109" spans="1:38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</row>
    <row r="110" spans="1:38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</row>
    <row r="111" spans="1:38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</row>
    <row r="112" spans="1:38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</row>
    <row r="113" spans="1:38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</row>
    <row r="115" spans="1:38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</row>
    <row r="116" spans="1:38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</row>
    <row r="117" spans="1:38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</row>
    <row r="118" spans="1:3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</row>
    <row r="119" spans="1:38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</row>
    <row r="120" spans="1:38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</row>
    <row r="121" spans="1:38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</row>
    <row r="122" spans="1:38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</row>
    <row r="123" spans="1:38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</row>
    <row r="124" spans="1:38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</row>
    <row r="125" spans="1:38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</row>
    <row r="126" spans="1:38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</row>
    <row r="127" spans="1:38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</row>
    <row r="128" spans="1:3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</row>
    <row r="129" spans="1:38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</row>
    <row r="130" spans="1:38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</row>
    <row r="131" spans="1:38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</row>
    <row r="132" spans="1:38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</row>
    <row r="133" spans="1:38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</row>
    <row r="134" spans="1:38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</row>
    <row r="135" spans="1:38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</row>
    <row r="136" spans="1:38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</row>
    <row r="137" spans="1:38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</row>
    <row r="138" spans="1: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</row>
    <row r="139" spans="1:38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</row>
    <row r="140" spans="1:38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</row>
    <row r="141" spans="1:38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</row>
    <row r="142" spans="1:38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</row>
    <row r="143" spans="1:38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</row>
    <row r="144" spans="1:38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</row>
    <row r="145" spans="1:38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</row>
    <row r="146" spans="1:38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</row>
    <row r="147" spans="1:38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</row>
    <row r="148" spans="1:3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</row>
    <row r="149" spans="1:38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</row>
    <row r="150" spans="1:38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</row>
    <row r="151" spans="1:38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</row>
    <row r="152" spans="1:38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</row>
    <row r="153" spans="1:38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</row>
    <row r="154" spans="1:38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</row>
    <row r="155" spans="1:38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</row>
    <row r="156" spans="1:38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</row>
    <row r="157" spans="1:38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</row>
    <row r="158" spans="1:3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</row>
    <row r="159" spans="1:38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</row>
    <row r="160" spans="1:38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</row>
    <row r="161" spans="1:38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</row>
    <row r="162" spans="1:38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</row>
    <row r="163" spans="1:38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</row>
    <row r="164" spans="1:38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</row>
    <row r="165" spans="1:38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</row>
    <row r="166" spans="1:38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</row>
    <row r="167" spans="1:38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</row>
    <row r="168" spans="1:3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</row>
    <row r="169" spans="1:38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</row>
    <row r="170" spans="1:38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</row>
    <row r="171" spans="1:38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</row>
    <row r="172" spans="1:38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</row>
    <row r="173" spans="1:38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</row>
    <row r="174" spans="1:38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</row>
    <row r="175" spans="1:38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</row>
    <row r="176" spans="1:38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</row>
    <row r="177" spans="1:38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</row>
    <row r="178" spans="1:3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</row>
    <row r="179" spans="1:38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</row>
    <row r="180" spans="1:38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</row>
    <row r="181" spans="1:38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</row>
    <row r="182" spans="1:38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</row>
    <row r="183" spans="1:38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</row>
    <row r="184" spans="1:38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</row>
    <row r="185" spans="1:38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</row>
    <row r="186" spans="1:38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</row>
    <row r="187" spans="1:38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</row>
    <row r="188" spans="1:3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</row>
    <row r="189" spans="1:38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</row>
    <row r="190" spans="1:38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</row>
    <row r="191" spans="1:38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</row>
    <row r="192" spans="1:38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</row>
    <row r="193" spans="1:38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</row>
    <row r="194" spans="1:38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</row>
    <row r="195" spans="1:38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</row>
    <row r="196" spans="1:38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</row>
    <row r="197" spans="1:38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</row>
    <row r="198" spans="1:3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</row>
    <row r="199" spans="1:38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</row>
    <row r="200" spans="1:38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</row>
    <row r="201" spans="1:38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</row>
    <row r="202" spans="1:38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</row>
    <row r="203" spans="1:38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</row>
    <row r="204" spans="1:38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</row>
    <row r="205" spans="1:38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</row>
    <row r="206" spans="1:38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</row>
    <row r="207" spans="1:38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</row>
    <row r="208" spans="1:3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</row>
    <row r="209" spans="1:38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</row>
    <row r="210" spans="1:38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</row>
    <row r="211" spans="1:38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</row>
    <row r="212" spans="1:38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</row>
    <row r="213" spans="1:38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</row>
    <row r="214" spans="1:38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</row>
    <row r="215" spans="1:38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</row>
    <row r="216" spans="1:38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</row>
    <row r="217" spans="1:38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</row>
    <row r="218" spans="1:3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</row>
    <row r="219" spans="1:38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</row>
    <row r="220" spans="1:38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</row>
    <row r="221" spans="1:38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</row>
    <row r="222" spans="1:38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</row>
    <row r="223" spans="1:38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</row>
    <row r="224" spans="1:38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</row>
    <row r="225" spans="1:38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</row>
    <row r="226" spans="1:38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</row>
    <row r="227" spans="1:38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</row>
    <row r="228" spans="1:3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</row>
    <row r="229" spans="1:38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</row>
    <row r="230" spans="1:38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</row>
    <row r="231" spans="1:38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</row>
    <row r="232" spans="1:38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</row>
    <row r="233" spans="1:38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</row>
    <row r="234" spans="1:38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</row>
    <row r="235" spans="1:38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</row>
    <row r="236" spans="1:38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</row>
    <row r="237" spans="1:38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</row>
    <row r="238" spans="1: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</row>
    <row r="239" spans="1:38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</row>
    <row r="240" spans="1:38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</row>
    <row r="241" spans="1:38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</row>
    <row r="242" spans="1:38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</row>
    <row r="243" spans="1:38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</row>
    <row r="244" spans="1:38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</row>
    <row r="245" spans="1:38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</row>
    <row r="246" spans="1:38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</row>
    <row r="247" spans="1:38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</row>
    <row r="248" spans="1:3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</row>
    <row r="249" spans="1:38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</row>
    <row r="250" spans="1:38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</row>
    <row r="251" spans="1:38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</row>
    <row r="252" spans="1:38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</row>
    <row r="253" spans="1:38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</row>
    <row r="254" spans="1:38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</row>
    <row r="255" spans="1:38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</row>
    <row r="256" spans="1:38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</row>
    <row r="257" spans="1:38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</row>
    <row r="258" spans="1:3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</row>
    <row r="259" spans="1:38" ht="15.75" customHeight="1"/>
    <row r="260" spans="1:38" ht="15.75" customHeight="1"/>
    <row r="261" spans="1:38" ht="15.75" customHeight="1"/>
    <row r="262" spans="1:38" ht="15.75" customHeight="1"/>
    <row r="263" spans="1:38" ht="15.75" customHeight="1"/>
    <row r="264" spans="1:38" ht="15.75" customHeight="1"/>
    <row r="265" spans="1:38" ht="15.75" customHeight="1"/>
    <row r="266" spans="1:38" ht="15.75" customHeight="1"/>
    <row r="267" spans="1:38" ht="15.75" customHeight="1"/>
    <row r="268" spans="1:38" ht="15.75" customHeight="1"/>
    <row r="269" spans="1:38" ht="15.75" customHeight="1"/>
    <row r="270" spans="1:38" ht="15.75" customHeight="1"/>
    <row r="271" spans="1:38" ht="15.75" customHeight="1"/>
    <row r="272" spans="1:38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4">
    <mergeCell ref="A1:H1"/>
    <mergeCell ref="J1:Q1"/>
    <mergeCell ref="S1:Z1"/>
    <mergeCell ref="A2:H2"/>
    <mergeCell ref="J2:Q2"/>
    <mergeCell ref="S2:Z2"/>
    <mergeCell ref="A3:H3"/>
    <mergeCell ref="J3:Q3"/>
    <mergeCell ref="S3:Z3"/>
    <mergeCell ref="A5:H5"/>
    <mergeCell ref="J5:Q5"/>
    <mergeCell ref="S5:Z5"/>
    <mergeCell ref="Z26:Z35"/>
    <mergeCell ref="S36:U36"/>
    <mergeCell ref="X36:Y36"/>
    <mergeCell ref="AB55:AG55"/>
    <mergeCell ref="T24:U24"/>
    <mergeCell ref="X24:Y25"/>
    <mergeCell ref="T25:U25"/>
    <mergeCell ref="S26:S35"/>
    <mergeCell ref="T26:U35"/>
    <mergeCell ref="V26:V35"/>
    <mergeCell ref="W26:W35"/>
    <mergeCell ref="X26:Y35"/>
  </mergeCells>
  <pageMargins left="0.25" right="0.25" top="0.75" bottom="0.75" header="0" footer="0"/>
  <pageSetup paperSize="9" scale="9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51101-98C8-48C8-8694-399B355D74B2}">
  <sheetPr codeName="Sheet4">
    <tabColor theme="5" tint="0.39997558519241921"/>
  </sheetPr>
  <dimension ref="A1:AL1001"/>
  <sheetViews>
    <sheetView zoomScaleNormal="100" workbookViewId="0">
      <selection sqref="A1:H1"/>
    </sheetView>
  </sheetViews>
  <sheetFormatPr defaultColWidth="14.42578125" defaultRowHeight="15" customHeight="1"/>
  <cols>
    <col min="1" max="1" width="12.5703125" customWidth="1"/>
    <col min="2" max="2" width="14.28515625" bestFit="1" customWidth="1"/>
    <col min="3" max="3" width="14.7109375" customWidth="1"/>
    <col min="4" max="4" width="17.7109375" bestFit="1" customWidth="1"/>
    <col min="5" max="5" width="10.140625" bestFit="1" customWidth="1"/>
    <col min="6" max="6" width="15.85546875" bestFit="1" customWidth="1"/>
    <col min="7" max="7" width="12.7109375" customWidth="1"/>
    <col min="8" max="8" width="10.140625" bestFit="1" customWidth="1"/>
    <col min="9" max="9" width="0.85546875" customWidth="1"/>
    <col min="10" max="10" width="13.28515625" customWidth="1"/>
    <col min="11" max="11" width="11.140625" customWidth="1"/>
    <col min="12" max="12" width="15.85546875" customWidth="1"/>
    <col min="13" max="13" width="17.7109375" bestFit="1" customWidth="1"/>
    <col min="14" max="15" width="13" customWidth="1"/>
    <col min="16" max="16" width="13.5703125" customWidth="1"/>
    <col min="17" max="17" width="13" customWidth="1"/>
    <col min="18" max="18" width="0.7109375" customWidth="1"/>
    <col min="19" max="19" width="12.42578125" customWidth="1"/>
    <col min="20" max="20" width="6.85546875" customWidth="1"/>
    <col min="21" max="21" width="12.5703125" customWidth="1"/>
    <col min="22" max="22" width="17.5703125" customWidth="1"/>
    <col min="23" max="23" width="17.85546875" customWidth="1"/>
    <col min="24" max="24" width="13.28515625" bestFit="1" customWidth="1"/>
    <col min="25" max="25" width="11.140625" customWidth="1"/>
    <col min="26" max="26" width="13" customWidth="1"/>
    <col min="27" max="27" width="1.28515625" customWidth="1"/>
    <col min="28" max="28" width="9" customWidth="1"/>
    <col min="29" max="29" width="9.7109375" customWidth="1"/>
    <col min="30" max="30" width="9" customWidth="1"/>
    <col min="31" max="31" width="11.7109375" customWidth="1"/>
    <col min="32" max="32" width="9" customWidth="1"/>
    <col min="33" max="33" width="8.28515625" customWidth="1"/>
    <col min="34" max="34" width="10.7109375" customWidth="1"/>
    <col min="35" max="35" width="9.42578125" customWidth="1"/>
    <col min="36" max="36" width="10.85546875" customWidth="1"/>
    <col min="37" max="38" width="11.140625" customWidth="1"/>
  </cols>
  <sheetData>
    <row r="1" spans="1:38" ht="12.75" customHeight="1">
      <c r="A1" s="815" t="s">
        <v>1076</v>
      </c>
      <c r="B1" s="816"/>
      <c r="C1" s="816"/>
      <c r="D1" s="816"/>
      <c r="E1" s="816"/>
      <c r="F1" s="816"/>
      <c r="G1" s="816"/>
      <c r="H1" s="816"/>
      <c r="I1" s="119"/>
      <c r="J1" s="815" t="s">
        <v>1076</v>
      </c>
      <c r="K1" s="816"/>
      <c r="L1" s="816"/>
      <c r="M1" s="816"/>
      <c r="N1" s="816"/>
      <c r="O1" s="816"/>
      <c r="P1" s="816"/>
      <c r="Q1" s="816"/>
      <c r="R1" s="119"/>
      <c r="S1" s="815" t="s">
        <v>1076</v>
      </c>
      <c r="T1" s="816"/>
      <c r="U1" s="816"/>
      <c r="V1" s="816"/>
      <c r="W1" s="816"/>
      <c r="X1" s="816"/>
      <c r="Y1" s="816"/>
      <c r="Z1" s="816"/>
      <c r="AA1" s="119"/>
      <c r="AB1" s="198" t="s">
        <v>762</v>
      </c>
      <c r="AC1" s="199"/>
      <c r="AD1" s="199"/>
      <c r="AE1" s="199"/>
      <c r="AF1" s="199"/>
      <c r="AG1" s="200"/>
      <c r="AH1" s="199"/>
      <c r="AI1" s="199"/>
      <c r="AJ1" s="199"/>
      <c r="AK1" s="199"/>
      <c r="AL1" s="201"/>
    </row>
    <row r="2" spans="1:38" ht="12.75" customHeight="1">
      <c r="A2" s="817" t="s">
        <v>1077</v>
      </c>
      <c r="B2" s="816"/>
      <c r="C2" s="816"/>
      <c r="D2" s="816"/>
      <c r="E2" s="816"/>
      <c r="F2" s="816"/>
      <c r="G2" s="816"/>
      <c r="H2" s="816"/>
      <c r="I2" s="70"/>
      <c r="J2" s="817" t="s">
        <v>1077</v>
      </c>
      <c r="K2" s="816"/>
      <c r="L2" s="816"/>
      <c r="M2" s="816"/>
      <c r="N2" s="816"/>
      <c r="O2" s="816"/>
      <c r="P2" s="816"/>
      <c r="Q2" s="816"/>
      <c r="R2" s="70"/>
      <c r="S2" s="817" t="s">
        <v>1077</v>
      </c>
      <c r="T2" s="816"/>
      <c r="U2" s="816"/>
      <c r="V2" s="816"/>
      <c r="W2" s="816"/>
      <c r="X2" s="816"/>
      <c r="Y2" s="816"/>
      <c r="Z2" s="816"/>
      <c r="AA2" s="70"/>
      <c r="AB2" s="202" t="s">
        <v>1076</v>
      </c>
      <c r="AC2" s="203"/>
      <c r="AD2" s="203"/>
      <c r="AE2" s="203"/>
      <c r="AF2" s="203"/>
      <c r="AG2" s="120"/>
      <c r="AH2" s="204"/>
      <c r="AI2" s="205" t="s">
        <v>763</v>
      </c>
      <c r="AJ2" s="204"/>
      <c r="AK2" s="204"/>
      <c r="AL2" s="206"/>
    </row>
    <row r="3" spans="1:38" ht="12.75" customHeight="1">
      <c r="A3" s="817" t="s">
        <v>764</v>
      </c>
      <c r="B3" s="816"/>
      <c r="C3" s="816"/>
      <c r="D3" s="816"/>
      <c r="E3" s="816"/>
      <c r="F3" s="816"/>
      <c r="G3" s="816"/>
      <c r="H3" s="816"/>
      <c r="I3" s="70"/>
      <c r="J3" s="817" t="s">
        <v>764</v>
      </c>
      <c r="K3" s="816"/>
      <c r="L3" s="816"/>
      <c r="M3" s="816"/>
      <c r="N3" s="816"/>
      <c r="O3" s="816"/>
      <c r="P3" s="816"/>
      <c r="Q3" s="816"/>
      <c r="R3" s="70"/>
      <c r="S3" s="817" t="s">
        <v>764</v>
      </c>
      <c r="T3" s="816"/>
      <c r="U3" s="816"/>
      <c r="V3" s="816"/>
      <c r="W3" s="816"/>
      <c r="X3" s="816"/>
      <c r="Y3" s="816"/>
      <c r="Z3" s="816"/>
      <c r="AA3" s="70"/>
      <c r="AB3" s="202" t="s">
        <v>1095</v>
      </c>
      <c r="AC3" s="203"/>
      <c r="AD3" s="203"/>
      <c r="AE3" s="203"/>
      <c r="AF3" s="203"/>
      <c r="AG3" s="120"/>
      <c r="AH3" s="204"/>
      <c r="AI3" s="204" t="s">
        <v>1076</v>
      </c>
      <c r="AJ3" s="204"/>
      <c r="AK3" s="204"/>
      <c r="AL3" s="206"/>
    </row>
    <row r="4" spans="1:38" ht="12.7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202" t="s">
        <v>765</v>
      </c>
      <c r="AC4" s="203"/>
      <c r="AD4" s="203"/>
      <c r="AE4" s="203"/>
      <c r="AF4" s="203"/>
      <c r="AG4" s="120"/>
      <c r="AH4" s="204"/>
      <c r="AI4" s="207" t="s">
        <v>766</v>
      </c>
      <c r="AJ4" s="207" t="str">
        <f>G8</f>
        <v>DYY-LCH25109</v>
      </c>
      <c r="AK4" s="204"/>
      <c r="AL4" s="206"/>
    </row>
    <row r="5" spans="1:38" ht="12.75" customHeight="1">
      <c r="A5" s="818" t="s">
        <v>767</v>
      </c>
      <c r="B5" s="816"/>
      <c r="C5" s="816"/>
      <c r="D5" s="816"/>
      <c r="E5" s="816"/>
      <c r="F5" s="816"/>
      <c r="G5" s="816"/>
      <c r="H5" s="816"/>
      <c r="I5" s="122"/>
      <c r="J5" s="818" t="s">
        <v>767</v>
      </c>
      <c r="K5" s="816"/>
      <c r="L5" s="816"/>
      <c r="M5" s="816"/>
      <c r="N5" s="816"/>
      <c r="O5" s="816"/>
      <c r="P5" s="816"/>
      <c r="Q5" s="816"/>
      <c r="R5" s="122"/>
      <c r="S5" s="818" t="s">
        <v>768</v>
      </c>
      <c r="T5" s="816"/>
      <c r="U5" s="816"/>
      <c r="V5" s="816"/>
      <c r="W5" s="816"/>
      <c r="X5" s="816"/>
      <c r="Y5" s="816"/>
      <c r="Z5" s="816"/>
      <c r="AA5" s="122"/>
      <c r="AB5" s="208" t="s">
        <v>1096</v>
      </c>
      <c r="AC5" s="203"/>
      <c r="AD5" s="203"/>
      <c r="AE5" s="203"/>
      <c r="AF5" s="203"/>
      <c r="AG5" s="120"/>
      <c r="AH5" s="204"/>
      <c r="AI5" s="204"/>
      <c r="AJ5" s="204"/>
      <c r="AK5" s="204"/>
      <c r="AL5" s="206"/>
    </row>
    <row r="6" spans="1:38" ht="12.75" customHeight="1">
      <c r="A6" s="7"/>
      <c r="B6" s="123"/>
      <c r="C6" s="123"/>
      <c r="D6" s="123"/>
      <c r="E6" s="123"/>
      <c r="F6" s="7" t="s">
        <v>769</v>
      </c>
      <c r="G6" s="122" t="str">
        <f>VLOOKUP(G8,'TOTAL - LCB'!$A$18:$AE$1019,12,FALSE)</f>
        <v>DYY-LCH25109</v>
      </c>
      <c r="H6" s="123"/>
      <c r="I6" s="123"/>
      <c r="J6" s="7"/>
      <c r="K6" s="123"/>
      <c r="L6" s="123"/>
      <c r="M6" s="123"/>
      <c r="N6" s="123"/>
      <c r="O6" s="7" t="s">
        <v>769</v>
      </c>
      <c r="P6" s="124" t="str">
        <f>VLOOKUP(P8,'TOTAL - LCB'!$A$18:$AE$1019,12,FALSE)</f>
        <v>DYY-LCH25109</v>
      </c>
      <c r="Q6" s="123"/>
      <c r="R6" s="123"/>
      <c r="S6" s="7"/>
      <c r="T6" s="123"/>
      <c r="U6" s="123"/>
      <c r="V6" s="123"/>
      <c r="W6" s="123"/>
      <c r="X6" s="7" t="s">
        <v>770</v>
      </c>
      <c r="Y6" s="124" t="str">
        <f>VLOOKUP(Y8,'TOTAL - LCB'!$A$18:$AE$1019,12,FALSE)</f>
        <v>DYY-LCH25109</v>
      </c>
      <c r="Z6" s="123"/>
      <c r="AA6" s="123"/>
      <c r="AB6" s="202" t="s">
        <v>771</v>
      </c>
      <c r="AC6" s="203"/>
      <c r="AD6" s="203"/>
      <c r="AE6" s="203"/>
      <c r="AF6" s="203"/>
      <c r="AG6" s="120"/>
      <c r="AH6" s="204"/>
      <c r="AI6" s="209" t="s">
        <v>772</v>
      </c>
      <c r="AJ6" s="209" t="s">
        <v>773</v>
      </c>
      <c r="AK6" s="204"/>
      <c r="AL6" s="206"/>
    </row>
    <row r="7" spans="1:38" ht="12.75" customHeight="1">
      <c r="A7" s="7"/>
      <c r="B7" s="7"/>
      <c r="C7" s="7"/>
      <c r="D7" s="7"/>
      <c r="E7" s="7"/>
      <c r="F7" s="7" t="s">
        <v>774</v>
      </c>
      <c r="G7" s="125">
        <f>VLOOKUP(G8,'TOTAL - LCB'!$A$18:$AE$1019,2,FALSE)</f>
        <v>45824</v>
      </c>
      <c r="H7" s="7"/>
      <c r="I7" s="7"/>
      <c r="J7" s="7"/>
      <c r="K7" s="7"/>
      <c r="L7" s="7"/>
      <c r="M7" s="7"/>
      <c r="N7" s="7"/>
      <c r="O7" s="7" t="s">
        <v>774</v>
      </c>
      <c r="P7" s="125">
        <f>VLOOKUP(P8,'TOTAL - LCB'!$A$18:$AE$1019,2,FALSE)</f>
        <v>45824</v>
      </c>
      <c r="Q7" s="7"/>
      <c r="R7" s="7"/>
      <c r="S7" s="7"/>
      <c r="T7" s="7"/>
      <c r="U7" s="7"/>
      <c r="V7" s="7"/>
      <c r="W7" s="7"/>
      <c r="X7" s="7" t="s">
        <v>774</v>
      </c>
      <c r="Y7" s="125">
        <f>VLOOKUP(Y8,'TOTAL - LCB'!$A$18:$AE$1019,2,FALSE)</f>
        <v>45824</v>
      </c>
      <c r="Z7" s="7"/>
      <c r="AA7" s="7"/>
      <c r="AB7" s="202"/>
      <c r="AC7" s="126"/>
      <c r="AD7" s="126"/>
      <c r="AE7" s="126"/>
      <c r="AF7" s="126"/>
      <c r="AG7" s="127"/>
      <c r="AH7" s="204"/>
      <c r="AI7" s="204"/>
      <c r="AJ7" s="209"/>
      <c r="AK7" s="204"/>
      <c r="AL7" s="206"/>
    </row>
    <row r="8" spans="1:38" ht="12.75" customHeight="1">
      <c r="A8" s="128" t="s">
        <v>775</v>
      </c>
      <c r="B8" s="7"/>
      <c r="C8" s="7"/>
      <c r="D8" s="7"/>
      <c r="E8" s="7"/>
      <c r="F8" s="121" t="s">
        <v>766</v>
      </c>
      <c r="G8" s="121" t="s">
        <v>2114</v>
      </c>
      <c r="H8" s="7"/>
      <c r="I8" s="7"/>
      <c r="J8" s="128" t="s">
        <v>775</v>
      </c>
      <c r="K8" s="7"/>
      <c r="L8" s="7"/>
      <c r="M8" s="7"/>
      <c r="N8" s="7"/>
      <c r="O8" s="121" t="s">
        <v>766</v>
      </c>
      <c r="P8" s="121" t="str">
        <f>G8</f>
        <v>DYY-LCH25109</v>
      </c>
      <c r="Q8" s="7"/>
      <c r="R8" s="7"/>
      <c r="S8" s="128" t="s">
        <v>776</v>
      </c>
      <c r="T8" s="7"/>
      <c r="U8" s="7"/>
      <c r="V8" s="7"/>
      <c r="W8" s="7"/>
      <c r="X8" s="121" t="s">
        <v>766</v>
      </c>
      <c r="Y8" s="121" t="str">
        <f>P8</f>
        <v>DYY-LCH25109</v>
      </c>
      <c r="Z8" s="7"/>
      <c r="AA8" s="7"/>
      <c r="AB8" s="210" t="s">
        <v>777</v>
      </c>
      <c r="AC8" s="129"/>
      <c r="AD8" s="129"/>
      <c r="AE8" s="129"/>
      <c r="AF8" s="129"/>
      <c r="AG8" s="130"/>
      <c r="AH8" s="204"/>
      <c r="AI8" s="205"/>
      <c r="AJ8" s="209"/>
      <c r="AK8" s="204"/>
      <c r="AL8" s="206"/>
    </row>
    <row r="9" spans="1:38" ht="12.75" customHeight="1">
      <c r="A9" s="24" t="s">
        <v>1644</v>
      </c>
      <c r="B9" s="7"/>
      <c r="C9" s="7"/>
      <c r="D9" s="7"/>
      <c r="E9" s="7"/>
      <c r="F9" s="7"/>
      <c r="G9" s="7"/>
      <c r="H9" s="7"/>
      <c r="I9" s="7"/>
      <c r="J9" s="24" t="s">
        <v>1644</v>
      </c>
      <c r="K9" s="7"/>
      <c r="L9" s="7"/>
      <c r="M9" s="7"/>
      <c r="N9" s="7"/>
      <c r="O9" s="7"/>
      <c r="P9" s="7"/>
      <c r="Q9" s="7"/>
      <c r="R9" s="7"/>
      <c r="S9" s="7" t="s">
        <v>1076</v>
      </c>
      <c r="T9" s="7"/>
      <c r="U9" s="7"/>
      <c r="V9" s="7"/>
      <c r="W9" s="7"/>
      <c r="X9" s="7"/>
      <c r="Y9" s="7"/>
      <c r="Z9" s="7"/>
      <c r="AA9" s="7"/>
      <c r="AB9" s="202" t="s">
        <v>1644</v>
      </c>
      <c r="AC9" s="204"/>
      <c r="AD9" s="204"/>
      <c r="AE9" s="204"/>
      <c r="AF9" s="204"/>
      <c r="AG9" s="131"/>
      <c r="AH9" s="204"/>
      <c r="AI9" s="212"/>
      <c r="AJ9" s="204"/>
      <c r="AK9" s="204"/>
      <c r="AL9" s="206"/>
    </row>
    <row r="10" spans="1:38" ht="12.75" customHeight="1">
      <c r="A10" s="24" t="s">
        <v>1648</v>
      </c>
      <c r="B10" s="7"/>
      <c r="C10" s="7"/>
      <c r="D10" s="7"/>
      <c r="E10" s="7"/>
      <c r="F10" s="7"/>
      <c r="G10" s="7"/>
      <c r="H10" s="7"/>
      <c r="I10" s="7"/>
      <c r="J10" s="24" t="s">
        <v>1648</v>
      </c>
      <c r="K10" s="7"/>
      <c r="L10" s="7"/>
      <c r="M10" s="7"/>
      <c r="N10" s="7"/>
      <c r="O10" s="7"/>
      <c r="P10" s="7"/>
      <c r="Q10" s="7"/>
      <c r="R10" s="7"/>
      <c r="S10" s="7" t="s">
        <v>1077</v>
      </c>
      <c r="T10" s="7"/>
      <c r="U10" s="7"/>
      <c r="V10" s="7"/>
      <c r="W10" s="7"/>
      <c r="X10" s="7"/>
      <c r="Y10" s="7"/>
      <c r="Z10" s="7"/>
      <c r="AA10" s="7"/>
      <c r="AB10" s="202" t="s">
        <v>1648</v>
      </c>
      <c r="AC10" s="205"/>
      <c r="AD10" s="204"/>
      <c r="AE10" s="204"/>
      <c r="AF10" s="204"/>
      <c r="AG10" s="131"/>
      <c r="AH10" s="204"/>
      <c r="AI10" s="213"/>
      <c r="AJ10" s="204"/>
      <c r="AK10" s="204"/>
      <c r="AL10" s="206"/>
    </row>
    <row r="11" spans="1:38" ht="12.75" customHeight="1">
      <c r="A11" s="24" t="s">
        <v>1649</v>
      </c>
      <c r="B11" s="7"/>
      <c r="C11" s="7"/>
      <c r="D11" s="7"/>
      <c r="E11" s="7"/>
      <c r="F11" s="7"/>
      <c r="G11" s="7"/>
      <c r="H11" s="7"/>
      <c r="I11" s="7"/>
      <c r="J11" s="24" t="s">
        <v>1649</v>
      </c>
      <c r="K11" s="7"/>
      <c r="L11" s="7"/>
      <c r="M11" s="7"/>
      <c r="N11" s="7"/>
      <c r="O11" s="7"/>
      <c r="P11" s="7"/>
      <c r="Q11" s="226"/>
      <c r="R11" s="7"/>
      <c r="S11" s="7" t="s">
        <v>780</v>
      </c>
      <c r="T11" s="7"/>
      <c r="U11" s="7"/>
      <c r="V11" s="7"/>
      <c r="W11" s="7"/>
      <c r="X11" s="7"/>
      <c r="Y11" s="7"/>
      <c r="Z11" s="7"/>
      <c r="AA11" s="7"/>
      <c r="AB11" s="202" t="s">
        <v>1649</v>
      </c>
      <c r="AC11" s="214"/>
      <c r="AD11" s="204"/>
      <c r="AE11" s="204"/>
      <c r="AF11" s="204"/>
      <c r="AG11" s="131"/>
      <c r="AH11" s="204"/>
      <c r="AI11" s="213"/>
      <c r="AJ11" s="204"/>
      <c r="AK11" s="204"/>
      <c r="AL11" s="206"/>
    </row>
    <row r="12" spans="1:38" ht="12.75" customHeight="1">
      <c r="A12" s="24" t="s">
        <v>1645</v>
      </c>
      <c r="B12" s="7"/>
      <c r="C12" s="7"/>
      <c r="D12" s="7"/>
      <c r="E12" s="7"/>
      <c r="F12" s="7"/>
      <c r="G12" s="7"/>
      <c r="H12" s="7"/>
      <c r="I12" s="7"/>
      <c r="J12" s="24" t="s">
        <v>1645</v>
      </c>
      <c r="K12" s="7"/>
      <c r="L12" s="7"/>
      <c r="M12" s="7"/>
      <c r="N12" s="7"/>
      <c r="O12" s="7"/>
      <c r="P12" s="7"/>
      <c r="Q12" s="226"/>
      <c r="R12" s="7"/>
      <c r="S12" s="7"/>
      <c r="T12" s="7"/>
      <c r="U12" s="7"/>
      <c r="V12" s="7"/>
      <c r="W12" s="7"/>
      <c r="X12" s="7"/>
      <c r="Y12" s="7"/>
      <c r="Z12" s="7"/>
      <c r="AA12" s="7"/>
      <c r="AB12" s="202" t="s">
        <v>1645</v>
      </c>
      <c r="AC12" s="214"/>
      <c r="AD12" s="204"/>
      <c r="AE12" s="204"/>
      <c r="AF12" s="204"/>
      <c r="AG12" s="131"/>
      <c r="AH12" s="204"/>
      <c r="AI12" s="204"/>
      <c r="AJ12" s="204"/>
      <c r="AK12" s="204"/>
      <c r="AL12" s="206"/>
    </row>
    <row r="13" spans="1:38" ht="12.75" customHeight="1">
      <c r="A13" s="24" t="s">
        <v>1646</v>
      </c>
      <c r="B13" s="7"/>
      <c r="C13" s="7"/>
      <c r="D13" s="7"/>
      <c r="E13" s="7"/>
      <c r="F13" s="7"/>
      <c r="G13" s="7"/>
      <c r="H13" s="7"/>
      <c r="I13" s="7"/>
      <c r="J13" s="24" t="s">
        <v>1646</v>
      </c>
      <c r="K13" s="7"/>
      <c r="L13" s="7"/>
      <c r="M13" s="7"/>
      <c r="N13" s="7"/>
      <c r="O13" s="7"/>
      <c r="P13" s="7"/>
      <c r="Q13" s="226"/>
      <c r="R13" s="7"/>
      <c r="S13" s="7"/>
      <c r="T13" s="7"/>
      <c r="U13" s="7"/>
      <c r="V13" s="7"/>
      <c r="W13" s="7"/>
      <c r="X13" s="7"/>
      <c r="Y13" s="7"/>
      <c r="Z13" s="7"/>
      <c r="AA13" s="7"/>
      <c r="AB13" s="202" t="s">
        <v>1646</v>
      </c>
      <c r="AC13" s="214"/>
      <c r="AD13" s="204"/>
      <c r="AE13" s="204"/>
      <c r="AF13" s="204"/>
      <c r="AG13" s="131"/>
      <c r="AH13" s="204"/>
      <c r="AI13" s="204"/>
      <c r="AJ13" s="204"/>
      <c r="AK13" s="204"/>
      <c r="AL13" s="206"/>
    </row>
    <row r="14" spans="1:38" ht="12.75" customHeight="1">
      <c r="A14" s="24" t="s">
        <v>1647</v>
      </c>
      <c r="B14" s="7"/>
      <c r="C14" s="7"/>
      <c r="D14" s="7"/>
      <c r="E14" s="7"/>
      <c r="F14" s="7"/>
      <c r="G14" s="7"/>
      <c r="H14" s="7"/>
      <c r="I14" s="7"/>
      <c r="J14" s="24" t="s">
        <v>1647</v>
      </c>
      <c r="K14" s="7"/>
      <c r="L14" s="7"/>
      <c r="M14" s="7"/>
      <c r="N14" s="7"/>
      <c r="O14" s="7"/>
      <c r="P14" s="7"/>
      <c r="Q14" s="226"/>
      <c r="R14" s="7"/>
      <c r="S14" s="7"/>
      <c r="T14" s="7"/>
      <c r="U14" s="7"/>
      <c r="V14" s="7"/>
      <c r="W14" s="7"/>
      <c r="X14" s="7"/>
      <c r="Y14" s="7"/>
      <c r="Z14" s="7"/>
      <c r="AA14" s="7"/>
      <c r="AB14" s="202" t="s">
        <v>1647</v>
      </c>
      <c r="AC14" s="214"/>
      <c r="AD14" s="204"/>
      <c r="AE14" s="204"/>
      <c r="AF14" s="204"/>
      <c r="AG14" s="131"/>
      <c r="AH14" s="204"/>
      <c r="AI14" s="204"/>
      <c r="AJ14" s="204"/>
      <c r="AK14" s="204"/>
      <c r="AL14" s="206"/>
    </row>
    <row r="15" spans="1:38" ht="12.75" customHeight="1">
      <c r="B15" s="7"/>
      <c r="C15" s="7"/>
      <c r="D15" s="7"/>
      <c r="E15" s="7"/>
      <c r="F15" s="7"/>
      <c r="G15" s="7"/>
      <c r="H15" s="7"/>
      <c r="I15" s="7"/>
      <c r="J15" s="24"/>
      <c r="K15" s="7"/>
      <c r="L15" s="7"/>
      <c r="M15" s="7"/>
      <c r="N15" s="7"/>
      <c r="O15" s="7"/>
      <c r="P15" s="7"/>
      <c r="Q15" s="226"/>
      <c r="R15" s="7"/>
      <c r="S15" s="128" t="s">
        <v>785</v>
      </c>
      <c r="T15" s="7"/>
      <c r="U15" s="7"/>
      <c r="V15" s="7"/>
      <c r="W15" s="7"/>
      <c r="X15" s="7"/>
      <c r="Y15" s="7"/>
      <c r="Z15" s="7"/>
      <c r="AA15" s="7"/>
      <c r="AB15" s="202"/>
      <c r="AC15" s="132"/>
      <c r="AD15" s="126"/>
      <c r="AE15" s="126"/>
      <c r="AF15" s="126"/>
      <c r="AG15" s="127"/>
      <c r="AH15" s="204"/>
      <c r="AI15" s="204"/>
      <c r="AJ15" s="204"/>
      <c r="AK15" s="204"/>
      <c r="AL15" s="206"/>
    </row>
    <row r="16" spans="1:38" ht="12.75" customHeight="1">
      <c r="A16" s="24"/>
      <c r="B16" s="7"/>
      <c r="C16" s="7"/>
      <c r="D16" s="7"/>
      <c r="E16" s="7"/>
      <c r="F16" s="7"/>
      <c r="G16" s="7"/>
      <c r="H16" s="7"/>
      <c r="I16" s="7"/>
      <c r="J16" s="24"/>
      <c r="K16" s="7"/>
      <c r="L16" s="7"/>
      <c r="M16" s="7"/>
      <c r="N16" s="7"/>
      <c r="O16" s="7"/>
      <c r="P16" s="7"/>
      <c r="Q16" s="226"/>
      <c r="R16" s="7"/>
      <c r="S16" s="24" t="s">
        <v>1644</v>
      </c>
      <c r="T16" s="7"/>
      <c r="U16" s="7"/>
      <c r="V16" s="7"/>
      <c r="W16" s="7"/>
      <c r="X16" s="7"/>
      <c r="Y16" s="7"/>
      <c r="Z16" s="7"/>
      <c r="AA16" s="7"/>
      <c r="AB16" s="210"/>
      <c r="AC16" s="214"/>
      <c r="AD16" s="204"/>
      <c r="AE16" s="204"/>
      <c r="AF16" s="204"/>
      <c r="AG16" s="131"/>
      <c r="AH16" s="204"/>
      <c r="AI16" s="204"/>
      <c r="AJ16" s="204"/>
      <c r="AK16" s="204"/>
      <c r="AL16" s="206"/>
    </row>
    <row r="17" spans="1:38" ht="12.75" customHeight="1">
      <c r="A17" s="133" t="s">
        <v>786</v>
      </c>
      <c r="B17" s="7"/>
      <c r="C17" s="7"/>
      <c r="D17" s="7"/>
      <c r="E17" s="7"/>
      <c r="F17" s="7"/>
      <c r="G17" s="7"/>
      <c r="H17" s="7"/>
      <c r="I17" s="7"/>
      <c r="J17" s="133" t="s">
        <v>786</v>
      </c>
      <c r="K17" s="7"/>
      <c r="L17" s="7"/>
      <c r="M17" s="7"/>
      <c r="N17" s="7"/>
      <c r="O17" s="7"/>
      <c r="P17" s="7"/>
      <c r="Q17" s="226"/>
      <c r="R17" s="7"/>
      <c r="S17" s="24" t="s">
        <v>1648</v>
      </c>
      <c r="T17" s="7"/>
      <c r="U17" s="7"/>
      <c r="V17" s="7"/>
      <c r="W17" s="7"/>
      <c r="X17" s="7"/>
      <c r="Y17" s="7"/>
      <c r="Z17" s="226"/>
      <c r="AA17" s="226"/>
      <c r="AB17" s="210" t="s">
        <v>787</v>
      </c>
      <c r="AC17" s="129"/>
      <c r="AD17" s="129"/>
      <c r="AE17" s="129"/>
      <c r="AF17" s="129"/>
      <c r="AG17" s="130"/>
      <c r="AH17" s="215" t="s">
        <v>788</v>
      </c>
      <c r="AI17" s="204"/>
      <c r="AJ17" s="730" t="str">
        <f>VLOOKUP(AJ4,'TOTAL - LCB'!$A$18:$AE$1019,9,FALSE)</f>
        <v>BLCHC25028821</v>
      </c>
      <c r="AK17" s="204"/>
      <c r="AL17" s="206"/>
    </row>
    <row r="18" spans="1:38" ht="12.75" customHeight="1">
      <c r="A18" s="24" t="s">
        <v>1644</v>
      </c>
      <c r="B18" s="7"/>
      <c r="C18" s="7"/>
      <c r="D18" s="7"/>
      <c r="E18" s="7"/>
      <c r="F18" s="7"/>
      <c r="G18" s="7"/>
      <c r="H18" s="7"/>
      <c r="I18" s="7"/>
      <c r="J18" s="24" t="s">
        <v>1644</v>
      </c>
      <c r="K18" s="7"/>
      <c r="L18" s="7"/>
      <c r="M18" s="7"/>
      <c r="N18" s="7"/>
      <c r="O18" s="7"/>
      <c r="P18" s="7"/>
      <c r="Q18" s="226"/>
      <c r="R18" s="7"/>
      <c r="S18" s="24" t="s">
        <v>1649</v>
      </c>
      <c r="T18" s="7"/>
      <c r="U18" s="7"/>
      <c r="V18" s="7"/>
      <c r="W18" s="7"/>
      <c r="X18" s="7"/>
      <c r="Y18" s="7"/>
      <c r="Z18" s="226"/>
      <c r="AA18" s="226"/>
      <c r="AB18" s="202" t="s">
        <v>1644</v>
      </c>
      <c r="AC18" s="537"/>
      <c r="AD18" s="204"/>
      <c r="AE18" s="204"/>
      <c r="AF18" s="204"/>
      <c r="AG18" s="131"/>
      <c r="AH18" s="215"/>
      <c r="AI18" s="204"/>
      <c r="AJ18" s="204"/>
      <c r="AK18" s="204"/>
      <c r="AL18" s="206"/>
    </row>
    <row r="19" spans="1:38" ht="12.75" customHeight="1">
      <c r="A19" s="24" t="s">
        <v>1648</v>
      </c>
      <c r="B19" s="7"/>
      <c r="C19" s="7"/>
      <c r="D19" s="7"/>
      <c r="E19" s="7"/>
      <c r="F19" s="7"/>
      <c r="G19" s="7"/>
      <c r="H19" s="7"/>
      <c r="I19" s="7"/>
      <c r="J19" s="24" t="s">
        <v>1648</v>
      </c>
      <c r="K19" s="7"/>
      <c r="L19" s="7"/>
      <c r="M19" s="7"/>
      <c r="N19" s="7"/>
      <c r="O19" s="7"/>
      <c r="P19" s="7"/>
      <c r="Q19" s="226"/>
      <c r="R19" s="7"/>
      <c r="S19" s="24" t="s">
        <v>1645</v>
      </c>
      <c r="T19" s="7"/>
      <c r="U19" s="7"/>
      <c r="V19" s="7"/>
      <c r="W19" s="7"/>
      <c r="X19" s="7"/>
      <c r="Y19" s="7"/>
      <c r="Z19" s="226"/>
      <c r="AA19" s="226"/>
      <c r="AB19" s="202" t="s">
        <v>1648</v>
      </c>
      <c r="AC19" s="537"/>
      <c r="AD19" s="204"/>
      <c r="AE19" s="204"/>
      <c r="AF19" s="204"/>
      <c r="AG19" s="131"/>
      <c r="AH19" s="215"/>
      <c r="AI19" s="204"/>
      <c r="AJ19" s="204"/>
      <c r="AK19" s="204"/>
      <c r="AL19" s="206"/>
    </row>
    <row r="20" spans="1:38" ht="12.75" customHeight="1">
      <c r="A20" s="24" t="s">
        <v>1649</v>
      </c>
      <c r="B20" s="7"/>
      <c r="C20" s="7"/>
      <c r="D20" s="7"/>
      <c r="E20" s="7"/>
      <c r="F20" s="7"/>
      <c r="G20" s="7"/>
      <c r="H20" s="7"/>
      <c r="I20" s="7"/>
      <c r="J20" s="24" t="s">
        <v>1649</v>
      </c>
      <c r="K20" s="7"/>
      <c r="L20" s="7"/>
      <c r="M20" s="7"/>
      <c r="N20" s="7"/>
      <c r="O20" s="7"/>
      <c r="P20" s="7"/>
      <c r="Q20" s="226"/>
      <c r="R20" s="7"/>
      <c r="S20" s="24" t="s">
        <v>1646</v>
      </c>
      <c r="T20" s="7"/>
      <c r="U20" s="7"/>
      <c r="V20" s="7"/>
      <c r="W20" s="7"/>
      <c r="X20" s="7"/>
      <c r="Y20" s="7"/>
      <c r="Z20" s="226"/>
      <c r="AA20" s="226"/>
      <c r="AB20" s="202" t="s">
        <v>1649</v>
      </c>
      <c r="AC20" s="537"/>
      <c r="AD20" s="204"/>
      <c r="AE20" s="204"/>
      <c r="AF20" s="204"/>
      <c r="AG20" s="131"/>
      <c r="AH20" s="204"/>
      <c r="AI20" s="204"/>
      <c r="AJ20" s="204"/>
      <c r="AK20" s="204"/>
      <c r="AL20" s="206"/>
    </row>
    <row r="21" spans="1:38" ht="12.75" customHeight="1">
      <c r="A21" s="24" t="s">
        <v>1645</v>
      </c>
      <c r="B21" s="7"/>
      <c r="C21" s="7"/>
      <c r="D21" s="7"/>
      <c r="E21" s="7"/>
      <c r="F21" s="7"/>
      <c r="G21" s="7"/>
      <c r="H21" s="7"/>
      <c r="I21" s="7"/>
      <c r="J21" s="24" t="s">
        <v>1645</v>
      </c>
      <c r="K21" s="7"/>
      <c r="L21" s="7"/>
      <c r="M21" s="7"/>
      <c r="N21" s="7"/>
      <c r="O21" s="7"/>
      <c r="P21" s="7"/>
      <c r="Q21" s="226"/>
      <c r="R21" s="7"/>
      <c r="S21" s="24" t="s">
        <v>1647</v>
      </c>
      <c r="T21" s="7"/>
      <c r="U21" s="7"/>
      <c r="V21" s="7"/>
      <c r="W21" s="7"/>
      <c r="X21" s="7"/>
      <c r="Y21" s="7"/>
      <c r="Z21" s="226"/>
      <c r="AA21" s="226"/>
      <c r="AB21" s="208" t="s">
        <v>1645</v>
      </c>
      <c r="AC21" s="537"/>
      <c r="AD21" s="204"/>
      <c r="AE21" s="204"/>
      <c r="AF21" s="204"/>
      <c r="AG21" s="131"/>
      <c r="AH21" s="204"/>
      <c r="AI21" s="204"/>
      <c r="AJ21" s="204"/>
      <c r="AK21" s="204"/>
      <c r="AL21" s="206"/>
    </row>
    <row r="22" spans="1:38" ht="12.75" customHeight="1">
      <c r="A22" s="24" t="s">
        <v>1646</v>
      </c>
      <c r="B22" s="7"/>
      <c r="C22" s="7"/>
      <c r="D22" s="7"/>
      <c r="E22" s="7"/>
      <c r="F22" s="7"/>
      <c r="G22" s="7"/>
      <c r="H22" s="7"/>
      <c r="I22" s="7"/>
      <c r="J22" s="24" t="s">
        <v>1646</v>
      </c>
      <c r="K22" s="7"/>
      <c r="L22" s="7"/>
      <c r="M22" s="7"/>
      <c r="N22" s="7"/>
      <c r="O22" s="7"/>
      <c r="P22" s="7"/>
      <c r="Q22" s="226"/>
      <c r="R22" s="7"/>
      <c r="S22" s="24"/>
      <c r="T22" s="7"/>
      <c r="U22" s="7"/>
      <c r="V22" s="7"/>
      <c r="W22" s="7"/>
      <c r="X22" s="7"/>
      <c r="Y22" s="7"/>
      <c r="Z22" s="226"/>
      <c r="AA22" s="226"/>
      <c r="AB22" s="202" t="s">
        <v>1646</v>
      </c>
      <c r="AC22" s="537"/>
      <c r="AD22" s="204"/>
      <c r="AE22" s="204"/>
      <c r="AF22" s="204"/>
      <c r="AG22" s="131"/>
      <c r="AH22" s="204"/>
      <c r="AI22" s="204"/>
      <c r="AJ22" s="204"/>
      <c r="AK22" s="204"/>
      <c r="AL22" s="206"/>
    </row>
    <row r="23" spans="1:38" ht="12.75" customHeight="1">
      <c r="A23" s="24" t="s">
        <v>1647</v>
      </c>
      <c r="B23" s="7"/>
      <c r="C23" s="7"/>
      <c r="D23" s="7"/>
      <c r="E23" s="7"/>
      <c r="F23" s="7"/>
      <c r="G23" s="7"/>
      <c r="H23" s="7"/>
      <c r="I23" s="7"/>
      <c r="J23" s="24" t="s">
        <v>1647</v>
      </c>
      <c r="K23" s="7"/>
      <c r="L23" s="7"/>
      <c r="M23" s="7"/>
      <c r="N23" s="7"/>
      <c r="O23" s="7"/>
      <c r="P23" s="7"/>
      <c r="Q23" s="226"/>
      <c r="R23" s="7"/>
      <c r="S23" s="24"/>
      <c r="T23" s="7"/>
      <c r="U23" s="7"/>
      <c r="V23" s="7"/>
      <c r="W23" s="7"/>
      <c r="X23" s="7"/>
      <c r="Y23" s="7"/>
      <c r="Z23" s="226"/>
      <c r="AA23" s="226"/>
      <c r="AB23" s="202" t="s">
        <v>1647</v>
      </c>
      <c r="AC23" s="537"/>
      <c r="AD23" s="204"/>
      <c r="AE23" s="204"/>
      <c r="AF23" s="204"/>
      <c r="AG23" s="131"/>
      <c r="AH23" s="204"/>
      <c r="AI23" s="204"/>
      <c r="AJ23" s="204"/>
      <c r="AK23" s="204"/>
      <c r="AL23" s="206"/>
    </row>
    <row r="24" spans="1:38" ht="15" customHeight="1">
      <c r="A24" s="24"/>
      <c r="B24" s="7"/>
      <c r="C24" s="7"/>
      <c r="D24" s="7"/>
      <c r="E24" s="7"/>
      <c r="F24" s="7"/>
      <c r="G24" s="7"/>
      <c r="H24" s="7"/>
      <c r="I24" s="7"/>
      <c r="J24" s="24"/>
      <c r="K24" s="7"/>
      <c r="L24" s="7"/>
      <c r="M24" s="7"/>
      <c r="N24" s="7"/>
      <c r="O24" s="7"/>
      <c r="P24" s="7"/>
      <c r="Q24" s="226"/>
      <c r="R24" s="172"/>
      <c r="S24" s="134" t="s">
        <v>789</v>
      </c>
      <c r="T24" s="825" t="s">
        <v>790</v>
      </c>
      <c r="U24" s="826"/>
      <c r="V24" s="134" t="s">
        <v>791</v>
      </c>
      <c r="W24" s="135" t="s">
        <v>792</v>
      </c>
      <c r="X24" s="827" t="s">
        <v>850</v>
      </c>
      <c r="Y24" s="826"/>
      <c r="Z24" s="239" t="s">
        <v>794</v>
      </c>
      <c r="AA24" s="462"/>
      <c r="AB24" s="202"/>
      <c r="AC24" s="126"/>
      <c r="AD24" s="126"/>
      <c r="AE24" s="126"/>
      <c r="AF24" s="126"/>
      <c r="AG24" s="127"/>
      <c r="AH24" s="204"/>
      <c r="AI24" s="204"/>
      <c r="AJ24" s="204"/>
      <c r="AK24" s="204"/>
      <c r="AL24" s="206"/>
    </row>
    <row r="25" spans="1:38" ht="15" customHeight="1">
      <c r="A25" s="24"/>
      <c r="B25" s="7"/>
      <c r="C25" s="7"/>
      <c r="D25" s="7"/>
      <c r="E25" s="7"/>
      <c r="F25" s="7"/>
      <c r="G25" s="7"/>
      <c r="H25" s="7"/>
      <c r="I25" s="194"/>
      <c r="J25" s="24"/>
      <c r="K25" s="7"/>
      <c r="L25" s="7"/>
      <c r="M25" s="7"/>
      <c r="N25" s="7"/>
      <c r="O25" s="7"/>
      <c r="P25" s="7"/>
      <c r="Q25" s="240"/>
      <c r="R25" s="235"/>
      <c r="S25" s="136"/>
      <c r="T25" s="830"/>
      <c r="U25" s="829"/>
      <c r="V25" s="136" t="str">
        <f>VLOOKUP(P8,'TOTAL - LCB'!$A$18:$AE$1019,18,FALSE)</f>
        <v>PLASTIC BASKETS</v>
      </c>
      <c r="W25" s="137" t="s">
        <v>795</v>
      </c>
      <c r="X25" s="828"/>
      <c r="Y25" s="829"/>
      <c r="Z25" s="136" t="s">
        <v>851</v>
      </c>
      <c r="AA25" s="6"/>
      <c r="AB25" s="210" t="s">
        <v>849</v>
      </c>
      <c r="AC25" s="129"/>
      <c r="AD25" s="129"/>
      <c r="AE25" s="138" t="s">
        <v>797</v>
      </c>
      <c r="AF25" s="129"/>
      <c r="AG25" s="130"/>
      <c r="AH25" s="204"/>
      <c r="AI25" s="204"/>
      <c r="AJ25" s="204"/>
      <c r="AK25" s="204"/>
      <c r="AL25" s="206"/>
    </row>
    <row r="26" spans="1:38" ht="15" customHeight="1">
      <c r="A26" s="134" t="s">
        <v>798</v>
      </c>
      <c r="B26" s="134" t="s">
        <v>792</v>
      </c>
      <c r="C26" s="134" t="s">
        <v>799</v>
      </c>
      <c r="D26" s="135" t="s">
        <v>800</v>
      </c>
      <c r="E26" s="134" t="s">
        <v>801</v>
      </c>
      <c r="F26" s="134" t="s">
        <v>802</v>
      </c>
      <c r="G26" s="134" t="s">
        <v>803</v>
      </c>
      <c r="H26" s="134" t="s">
        <v>794</v>
      </c>
      <c r="I26" s="6"/>
      <c r="J26" s="134" t="s">
        <v>798</v>
      </c>
      <c r="K26" s="134" t="s">
        <v>792</v>
      </c>
      <c r="L26" s="134" t="s">
        <v>799</v>
      </c>
      <c r="M26" s="135" t="s">
        <v>800</v>
      </c>
      <c r="N26" s="134" t="s">
        <v>801</v>
      </c>
      <c r="O26" s="134" t="s">
        <v>802</v>
      </c>
      <c r="P26" s="134" t="s">
        <v>803</v>
      </c>
      <c r="Q26" s="239" t="s">
        <v>794</v>
      </c>
      <c r="R26" s="6"/>
      <c r="S26" s="834" t="str">
        <f>J29</f>
        <v>ZHEN GUO HOU</v>
      </c>
      <c r="T26" s="825" t="str">
        <f>VLOOKUP(Y8,'TOTAL - LCB'!$A$18:$AE$1019,8,FALSE)</f>
        <v>FRESH MANGOSTEEN</v>
      </c>
      <c r="U26" s="826"/>
      <c r="V26" s="837">
        <f>VLOOKUP(Y8,'TOTAL - LCB'!$A$18:$AE$1019,17,FALSE)</f>
        <v>2400</v>
      </c>
      <c r="W26" s="831">
        <f>N29</f>
        <v>16800</v>
      </c>
      <c r="X26" s="838">
        <f>VLOOKUP(Y8,'TOTAL - LCB'!$A$18:$AE$1019,13,FALSE)</f>
        <v>10</v>
      </c>
      <c r="Y26" s="826"/>
      <c r="Z26" s="831">
        <f>W26*X26</f>
        <v>168000</v>
      </c>
      <c r="AA26" s="7"/>
      <c r="AB26" s="208"/>
      <c r="AC26" s="204"/>
      <c r="AD26" s="204"/>
      <c r="AE26" s="139" t="s">
        <v>804</v>
      </c>
      <c r="AF26" s="126"/>
      <c r="AG26" s="127"/>
      <c r="AH26" s="204"/>
      <c r="AI26" s="204"/>
      <c r="AJ26" s="204"/>
      <c r="AK26" s="204"/>
      <c r="AL26" s="206"/>
    </row>
    <row r="27" spans="1:38" ht="12.75" customHeight="1">
      <c r="A27" s="136"/>
      <c r="B27" s="136" t="str">
        <f>VLOOKUP(G8,'TOTAL - LCB'!$A$18:$AE$1019,18,FALSE)</f>
        <v>PLASTIC BASKETS</v>
      </c>
      <c r="C27" s="136"/>
      <c r="D27" s="137"/>
      <c r="E27" s="136" t="s">
        <v>805</v>
      </c>
      <c r="F27" s="136" t="s">
        <v>805</v>
      </c>
      <c r="G27" s="136" t="s">
        <v>806</v>
      </c>
      <c r="H27" s="136" t="s">
        <v>796</v>
      </c>
      <c r="I27" s="7"/>
      <c r="J27" s="136"/>
      <c r="K27" s="136" t="str">
        <f>VLOOKUP(G8,'TOTAL - LCB'!$A$18:$AE$1019,18,FALSE)</f>
        <v>PLASTIC BASKETS</v>
      </c>
      <c r="L27" s="136"/>
      <c r="M27" s="137"/>
      <c r="N27" s="136" t="s">
        <v>805</v>
      </c>
      <c r="O27" s="136" t="s">
        <v>805</v>
      </c>
      <c r="P27" s="136" t="s">
        <v>852</v>
      </c>
      <c r="Q27" s="136" t="s">
        <v>851</v>
      </c>
      <c r="R27" s="7"/>
      <c r="S27" s="832"/>
      <c r="T27" s="835"/>
      <c r="U27" s="836"/>
      <c r="V27" s="832"/>
      <c r="W27" s="832"/>
      <c r="X27" s="835"/>
      <c r="Y27" s="836"/>
      <c r="Z27" s="832"/>
      <c r="AA27" s="28"/>
      <c r="AB27" s="210" t="s">
        <v>807</v>
      </c>
      <c r="AC27" s="129"/>
      <c r="AD27" s="129"/>
      <c r="AE27" s="138" t="s">
        <v>808</v>
      </c>
      <c r="AF27" s="129"/>
      <c r="AG27" s="130"/>
      <c r="AH27" s="204"/>
      <c r="AI27" s="204"/>
      <c r="AJ27" s="204"/>
      <c r="AK27" s="204"/>
      <c r="AL27" s="206"/>
    </row>
    <row r="28" spans="1:38" ht="12.75" customHeight="1">
      <c r="A28" s="140"/>
      <c r="B28" s="140"/>
      <c r="C28" s="140"/>
      <c r="D28" s="141"/>
      <c r="E28" s="142"/>
      <c r="F28" s="142"/>
      <c r="G28" s="143"/>
      <c r="H28" s="140"/>
      <c r="I28" s="28"/>
      <c r="J28" s="140"/>
      <c r="K28" s="140"/>
      <c r="L28" s="140"/>
      <c r="M28" s="141"/>
      <c r="N28" s="142"/>
      <c r="O28" s="142"/>
      <c r="P28" s="143"/>
      <c r="Q28" s="140"/>
      <c r="R28" s="28"/>
      <c r="S28" s="832"/>
      <c r="T28" s="835"/>
      <c r="U28" s="836"/>
      <c r="V28" s="832"/>
      <c r="W28" s="832"/>
      <c r="X28" s="835"/>
      <c r="Y28" s="836"/>
      <c r="Z28" s="832"/>
      <c r="AA28" s="144"/>
      <c r="AB28" s="216" t="str">
        <f>VLOOKUP(AJ4,'TOTAL - LCB'!$A$18:$AE$1019,31,FALSE)</f>
        <v>TS NAGOYA 25010N</v>
      </c>
      <c r="AC28" s="204"/>
      <c r="AD28" s="204"/>
      <c r="AE28" s="139" t="s">
        <v>804</v>
      </c>
      <c r="AF28" s="204"/>
      <c r="AG28" s="131"/>
      <c r="AH28" s="215"/>
      <c r="AI28" s="204"/>
      <c r="AJ28" s="204"/>
      <c r="AK28" s="204"/>
      <c r="AL28" s="206"/>
    </row>
    <row r="29" spans="1:38" ht="12.75" customHeight="1">
      <c r="A29" s="145" t="str">
        <f>VLOOKUP(G8,'TOTAL - LCB'!$A$18:$AE$1019,7,FALSE)</f>
        <v>ZHEN GUO HOU</v>
      </c>
      <c r="B29" s="146">
        <f>VLOOKUP(G8,'TOTAL - LCB'!$A$18:$AE$1019,17,FALSE)</f>
        <v>2400</v>
      </c>
      <c r="C29" s="145" t="str">
        <f>VLOOKUP(G8,'TOTAL - LCB'!$A$18:$AE$1019,18,FALSE)</f>
        <v>PLASTIC BASKETS</v>
      </c>
      <c r="D29" s="147" t="str">
        <f>VLOOKUP(G8,'TOTAL - LCB'!$A$18:$AE$1019,8,FALSE)</f>
        <v>FRESH MANGOSTEEN</v>
      </c>
      <c r="E29" s="148">
        <f>B29*E32</f>
        <v>16800</v>
      </c>
      <c r="F29" s="148">
        <f>B29*F32</f>
        <v>19920</v>
      </c>
      <c r="G29" s="149">
        <f>VLOOKUP(G8,'TOTAL - LCB'!$A$18:$AE$1019,14,FALSE)</f>
        <v>1.22</v>
      </c>
      <c r="H29" s="148">
        <f>E29*G29</f>
        <v>20496</v>
      </c>
      <c r="I29" s="144"/>
      <c r="J29" s="145" t="str">
        <f>VLOOKUP(P8,'TOTAL - LCB'!$A$18:$AE$1019,7,FALSE)</f>
        <v>ZHEN GUO HOU</v>
      </c>
      <c r="K29" s="146">
        <f>VLOOKUP(P8,'TOTAL - LCB'!$A$18:$AE$1019,17,FALSE)</f>
        <v>2400</v>
      </c>
      <c r="L29" s="145" t="str">
        <f>VLOOKUP(P8,'TOTAL - LCB'!$A$18:$AE$1019,18,FALSE)</f>
        <v>PLASTIC BASKETS</v>
      </c>
      <c r="M29" s="147" t="str">
        <f>VLOOKUP(P8,'TOTAL - LCB'!$A$18:$AE$1019,8,FALSE)</f>
        <v>FRESH MANGOSTEEN</v>
      </c>
      <c r="N29" s="148">
        <f>K29*N32</f>
        <v>16800</v>
      </c>
      <c r="O29" s="148">
        <f>K29*O32</f>
        <v>19920</v>
      </c>
      <c r="P29" s="149">
        <f>VLOOKUP(P8,'TOTAL - LCB'!$A$18:$AE$1019,13,FALSE)</f>
        <v>10</v>
      </c>
      <c r="Q29" s="148">
        <f>N29*P29</f>
        <v>168000</v>
      </c>
      <c r="R29" s="144"/>
      <c r="S29" s="832"/>
      <c r="T29" s="835"/>
      <c r="U29" s="836"/>
      <c r="V29" s="832"/>
      <c r="W29" s="832"/>
      <c r="X29" s="835"/>
      <c r="Y29" s="836"/>
      <c r="Z29" s="832"/>
      <c r="AA29" s="150"/>
      <c r="AB29" s="210" t="s">
        <v>809</v>
      </c>
      <c r="AC29" s="129"/>
      <c r="AD29" s="130"/>
      <c r="AE29" s="138" t="s">
        <v>810</v>
      </c>
      <c r="AF29" s="129"/>
      <c r="AG29" s="129"/>
      <c r="AH29" s="151" t="s">
        <v>811</v>
      </c>
      <c r="AI29" s="151"/>
      <c r="AJ29" s="152"/>
      <c r="AK29" s="151" t="s">
        <v>812</v>
      </c>
      <c r="AL29" s="217"/>
    </row>
    <row r="30" spans="1:38" ht="12.75" customHeight="1">
      <c r="A30" s="140"/>
      <c r="B30" s="140"/>
      <c r="C30" s="140"/>
      <c r="D30" s="141"/>
      <c r="E30" s="148"/>
      <c r="F30" s="148"/>
      <c r="G30" s="140"/>
      <c r="H30" s="153"/>
      <c r="I30" s="150"/>
      <c r="J30" s="140"/>
      <c r="K30" s="140"/>
      <c r="L30" s="140"/>
      <c r="M30" s="141"/>
      <c r="N30" s="148"/>
      <c r="O30" s="148"/>
      <c r="P30" s="140"/>
      <c r="Q30" s="153"/>
      <c r="R30" s="150"/>
      <c r="S30" s="832"/>
      <c r="T30" s="835"/>
      <c r="U30" s="836"/>
      <c r="V30" s="832"/>
      <c r="W30" s="832"/>
      <c r="X30" s="835"/>
      <c r="Y30" s="836"/>
      <c r="Z30" s="832"/>
      <c r="AA30" s="7"/>
      <c r="AB30" s="218" t="str">
        <f>VLOOKUP(AJ4,'TOTAL - LCB'!$A$18:$AE$1019,30,FALSE)</f>
        <v>NANSHA</v>
      </c>
      <c r="AC30" s="126" t="s">
        <v>813</v>
      </c>
      <c r="AD30" s="238"/>
      <c r="AE30" s="126" t="str">
        <f>VLOOKUP(AJ4,'TOTAL - LCB'!$A$18:$AE$1019,30,FALSE)</f>
        <v>NANSHA</v>
      </c>
      <c r="AF30" s="126" t="s">
        <v>813</v>
      </c>
      <c r="AG30" s="126"/>
      <c r="AH30" s="126"/>
      <c r="AI30" s="126"/>
      <c r="AJ30" s="127"/>
      <c r="AK30" s="126"/>
      <c r="AL30" s="219"/>
    </row>
    <row r="31" spans="1:38" ht="12.75" customHeight="1">
      <c r="A31" s="140"/>
      <c r="B31" s="146"/>
      <c r="C31" s="145"/>
      <c r="D31" s="147"/>
      <c r="E31" s="175" t="s">
        <v>871</v>
      </c>
      <c r="F31" s="197" t="str">
        <f>VLOOKUP(G8,'TOTAL - LCB'!$A$18:$AE$1019,18,FALSE)</f>
        <v>PLASTIC BASKETS</v>
      </c>
      <c r="G31" s="149"/>
      <c r="H31" s="146"/>
      <c r="I31" s="7"/>
      <c r="J31" s="140"/>
      <c r="K31" s="146"/>
      <c r="L31" s="145"/>
      <c r="M31" s="147"/>
      <c r="N31" s="175" t="s">
        <v>871</v>
      </c>
      <c r="O31" s="197" t="str">
        <f>VLOOKUP(P8,'TOTAL - LCB'!$A$18:$AE$1019,18,FALSE)</f>
        <v>PLASTIC BASKETS</v>
      </c>
      <c r="P31" s="149"/>
      <c r="Q31" s="146"/>
      <c r="R31" s="7"/>
      <c r="S31" s="832"/>
      <c r="T31" s="835"/>
      <c r="U31" s="836"/>
      <c r="V31" s="832"/>
      <c r="W31" s="832"/>
      <c r="X31" s="835"/>
      <c r="Y31" s="836"/>
      <c r="Z31" s="832"/>
      <c r="AA31" s="7"/>
      <c r="AB31" s="216" t="s">
        <v>814</v>
      </c>
      <c r="AC31" s="204"/>
      <c r="AD31" s="204"/>
      <c r="AE31" s="154" t="s">
        <v>815</v>
      </c>
      <c r="AF31" s="204"/>
      <c r="AG31" s="204"/>
      <c r="AH31" s="215" t="s">
        <v>816</v>
      </c>
      <c r="AI31" s="215"/>
      <c r="AJ31" s="215"/>
      <c r="AK31" s="154" t="s">
        <v>817</v>
      </c>
      <c r="AL31" s="220"/>
    </row>
    <row r="32" spans="1:38" ht="12.75" customHeight="1">
      <c r="A32" s="140"/>
      <c r="B32" s="140"/>
      <c r="C32" s="140"/>
      <c r="D32" s="141"/>
      <c r="E32" s="148">
        <f>VLOOKUP(G8,'TOTAL - LCB'!$A$18:$AE$1019,16,FALSE)</f>
        <v>7</v>
      </c>
      <c r="F32" s="148">
        <f>VLOOKUP(G8,'TOTAL - LCB'!$A$18:$AE$1019,15,FALSE)</f>
        <v>8.3000000000000007</v>
      </c>
      <c r="G32" s="140"/>
      <c r="H32" s="140"/>
      <c r="I32" s="7"/>
      <c r="J32" s="140"/>
      <c r="K32" s="140"/>
      <c r="L32" s="140"/>
      <c r="M32" s="141"/>
      <c r="N32" s="148">
        <f>VLOOKUP(P8,'TOTAL - LCB'!$A$18:$AE$1019,16,FALSE)</f>
        <v>7</v>
      </c>
      <c r="O32" s="148">
        <f>VLOOKUP(P8,'TOTAL - LCB'!$A$18:$AE$1019,15,FALSE)</f>
        <v>8.3000000000000007</v>
      </c>
      <c r="P32" s="140"/>
      <c r="Q32" s="140"/>
      <c r="R32" s="7"/>
      <c r="S32" s="832"/>
      <c r="T32" s="835"/>
      <c r="U32" s="836"/>
      <c r="V32" s="832"/>
      <c r="W32" s="832"/>
      <c r="X32" s="835"/>
      <c r="Y32" s="836"/>
      <c r="Z32" s="832"/>
      <c r="AA32" s="7"/>
      <c r="AB32" s="208"/>
      <c r="AC32" s="221"/>
      <c r="AD32" s="204"/>
      <c r="AE32" s="204" t="s">
        <v>818</v>
      </c>
      <c r="AF32" s="215"/>
      <c r="AG32" s="204"/>
      <c r="AH32" s="204" t="s">
        <v>819</v>
      </c>
      <c r="AI32" s="221"/>
      <c r="AJ32" s="221"/>
      <c r="AK32" s="222">
        <f>O29</f>
        <v>19920</v>
      </c>
      <c r="AL32" s="206" t="s">
        <v>820</v>
      </c>
    </row>
    <row r="33" spans="1:38" ht="12.75" customHeight="1">
      <c r="A33" s="140"/>
      <c r="B33" s="140"/>
      <c r="C33" s="140"/>
      <c r="D33" s="141"/>
      <c r="E33" s="140"/>
      <c r="F33" s="140"/>
      <c r="G33" s="140"/>
      <c r="H33" s="140"/>
      <c r="I33" s="7"/>
      <c r="J33" s="140"/>
      <c r="K33" s="140"/>
      <c r="L33" s="140"/>
      <c r="M33" s="141"/>
      <c r="N33" s="140"/>
      <c r="O33" s="140"/>
      <c r="P33" s="140"/>
      <c r="Q33" s="140"/>
      <c r="R33" s="7"/>
      <c r="S33" s="832"/>
      <c r="T33" s="835"/>
      <c r="U33" s="836"/>
      <c r="V33" s="832"/>
      <c r="W33" s="832"/>
      <c r="X33" s="835"/>
      <c r="Y33" s="836"/>
      <c r="Z33" s="832"/>
      <c r="AA33" s="7"/>
      <c r="AB33" s="208" t="str">
        <f>VLOOKUP(AJ4,'TOTAL - LCB'!$A$18:$AE$1019,10,FALSE)</f>
        <v>SEGU9513180</v>
      </c>
      <c r="AC33" s="204"/>
      <c r="AD33" s="204"/>
      <c r="AE33" s="204"/>
      <c r="AF33" s="204"/>
      <c r="AG33" s="204"/>
      <c r="AH33" s="204" t="s">
        <v>821</v>
      </c>
      <c r="AI33" s="221"/>
      <c r="AJ33" s="221"/>
      <c r="AK33" s="221"/>
      <c r="AL33" s="206"/>
    </row>
    <row r="34" spans="1:38" ht="12.75" customHeight="1">
      <c r="A34" s="140"/>
      <c r="B34" s="140"/>
      <c r="C34" s="140"/>
      <c r="D34" s="141"/>
      <c r="E34" s="148"/>
      <c r="F34" s="148"/>
      <c r="G34" s="140"/>
      <c r="H34" s="140"/>
      <c r="I34" s="7"/>
      <c r="J34" s="140"/>
      <c r="K34" s="140"/>
      <c r="L34" s="140"/>
      <c r="M34" s="141"/>
      <c r="N34" s="148"/>
      <c r="O34" s="148"/>
      <c r="P34" s="140"/>
      <c r="Q34" s="140"/>
      <c r="R34" s="7"/>
      <c r="S34" s="832"/>
      <c r="T34" s="835"/>
      <c r="U34" s="836"/>
      <c r="V34" s="832"/>
      <c r="W34" s="832"/>
      <c r="X34" s="835"/>
      <c r="Y34" s="836"/>
      <c r="Z34" s="832"/>
      <c r="AA34" s="7"/>
      <c r="AB34" s="208" t="s">
        <v>822</v>
      </c>
      <c r="AC34" s="745" t="str">
        <f>VLOOKUP(AJ4,'TOTAL - LCB'!$A$18:$AE$1019,11,FALSE)</f>
        <v>THLCH2458505</v>
      </c>
      <c r="AD34" s="204"/>
      <c r="AE34" s="221"/>
      <c r="AF34" s="204"/>
      <c r="AG34" s="204"/>
      <c r="AH34" s="204" t="s">
        <v>823</v>
      </c>
      <c r="AI34" s="221"/>
      <c r="AJ34" s="221"/>
      <c r="AK34" s="221"/>
      <c r="AL34" s="206"/>
    </row>
    <row r="35" spans="1:38" ht="12.75" customHeight="1">
      <c r="A35" s="140"/>
      <c r="B35" s="140"/>
      <c r="C35" s="140"/>
      <c r="D35" s="141"/>
      <c r="E35" s="140"/>
      <c r="F35" s="140"/>
      <c r="G35" s="140"/>
      <c r="H35" s="140"/>
      <c r="I35" s="7"/>
      <c r="J35" s="140"/>
      <c r="K35" s="140"/>
      <c r="L35" s="140"/>
      <c r="M35" s="141"/>
      <c r="N35" s="140"/>
      <c r="O35" s="140"/>
      <c r="P35" s="140"/>
      <c r="Q35" s="140"/>
      <c r="R35" s="7"/>
      <c r="S35" s="833"/>
      <c r="T35" s="828"/>
      <c r="U35" s="829"/>
      <c r="V35" s="833"/>
      <c r="W35" s="833"/>
      <c r="X35" s="828"/>
      <c r="Y35" s="829"/>
      <c r="Z35" s="833"/>
      <c r="AA35" s="7"/>
      <c r="AB35" s="208"/>
      <c r="AC35" s="221"/>
      <c r="AD35" s="204"/>
      <c r="AE35" s="221"/>
      <c r="AF35" s="204"/>
      <c r="AG35" s="204"/>
      <c r="AH35" s="204"/>
      <c r="AI35" s="221"/>
      <c r="AJ35" s="204"/>
      <c r="AK35" s="221"/>
      <c r="AL35" s="206"/>
    </row>
    <row r="36" spans="1:38" ht="12.75" customHeight="1">
      <c r="A36" s="140"/>
      <c r="B36" s="140"/>
      <c r="C36" s="140"/>
      <c r="D36" s="141"/>
      <c r="E36" s="140"/>
      <c r="F36" s="140"/>
      <c r="G36" s="140"/>
      <c r="H36" s="140"/>
      <c r="I36" s="7"/>
      <c r="J36" s="140"/>
      <c r="K36" s="140"/>
      <c r="L36" s="140"/>
      <c r="M36" s="141"/>
      <c r="N36" s="140"/>
      <c r="O36" s="140"/>
      <c r="P36" s="140"/>
      <c r="Q36" s="140"/>
      <c r="R36" s="7"/>
      <c r="S36" s="819" t="s">
        <v>824</v>
      </c>
      <c r="T36" s="820"/>
      <c r="U36" s="821"/>
      <c r="V36" s="155">
        <f t="shared" ref="V36:W36" si="0">V26</f>
        <v>2400</v>
      </c>
      <c r="W36" s="156">
        <f t="shared" si="0"/>
        <v>16800</v>
      </c>
      <c r="X36" s="822"/>
      <c r="Y36" s="821"/>
      <c r="Z36" s="156">
        <f>Z26</f>
        <v>168000</v>
      </c>
      <c r="AA36" s="157"/>
      <c r="AB36" s="223"/>
      <c r="AC36" s="204"/>
      <c r="AD36" s="204"/>
      <c r="AE36" s="221"/>
      <c r="AF36" s="204"/>
      <c r="AG36" s="204"/>
      <c r="AH36" s="204" t="str">
        <f>VLOOKUP(AJ4,'TOTAL - LCB'!$A$18:$AE$1019,8,FALSE)</f>
        <v>FRESH MANGOSTEEN</v>
      </c>
      <c r="AI36" s="221"/>
      <c r="AJ36" s="221"/>
      <c r="AK36" s="221"/>
      <c r="AL36" s="224"/>
    </row>
    <row r="37" spans="1:38" ht="12.75" customHeight="1">
      <c r="A37" s="140"/>
      <c r="B37" s="140"/>
      <c r="C37" s="140"/>
      <c r="D37" s="141"/>
      <c r="E37" s="140"/>
      <c r="F37" s="140"/>
      <c r="G37" s="140"/>
      <c r="H37" s="140"/>
      <c r="I37" s="28"/>
      <c r="J37" s="140"/>
      <c r="K37" s="140"/>
      <c r="L37" s="140"/>
      <c r="M37" s="141"/>
      <c r="N37" s="140"/>
      <c r="O37" s="140"/>
      <c r="P37" s="140"/>
      <c r="Q37" s="140"/>
      <c r="R37" s="28"/>
      <c r="S37" s="7"/>
      <c r="T37" s="7"/>
      <c r="U37" s="7"/>
      <c r="V37" s="7"/>
      <c r="W37" s="7"/>
      <c r="X37" s="7"/>
      <c r="Y37" s="7"/>
      <c r="Z37" s="7"/>
      <c r="AA37" s="7"/>
      <c r="AB37" s="216" t="s">
        <v>825</v>
      </c>
      <c r="AC37" s="221"/>
      <c r="AD37" s="204"/>
      <c r="AE37" s="221"/>
      <c r="AF37" s="204"/>
      <c r="AG37" s="204"/>
      <c r="AH37" s="225">
        <f>VLOOKUP(AJ4,'TOTAL - LCB'!$A$18:$AE$1019,17,FALSE)</f>
        <v>2400</v>
      </c>
      <c r="AI37" s="204" t="str">
        <f>VLOOKUP(AJ4,'TOTAL - LCB'!$A$18:$AE$1019,18,FALSE)</f>
        <v>PLASTIC BASKETS</v>
      </c>
      <c r="AJ37" s="204"/>
      <c r="AK37" s="204"/>
      <c r="AL37" s="206"/>
    </row>
    <row r="38" spans="1:38" ht="12.75" customHeight="1">
      <c r="A38" s="158" t="s">
        <v>824</v>
      </c>
      <c r="B38" s="159">
        <f t="shared" ref="B38:C38" si="1">B29</f>
        <v>2400</v>
      </c>
      <c r="C38" s="160" t="str">
        <f t="shared" si="1"/>
        <v>PLASTIC BASKETS</v>
      </c>
      <c r="D38" s="161"/>
      <c r="E38" s="156">
        <f t="shared" ref="E38:F38" si="2">E29</f>
        <v>16800</v>
      </c>
      <c r="F38" s="156">
        <f t="shared" si="2"/>
        <v>19920</v>
      </c>
      <c r="G38" s="160"/>
      <c r="H38" s="156">
        <f>H29</f>
        <v>20496</v>
      </c>
      <c r="I38" s="7"/>
      <c r="J38" s="158" t="s">
        <v>824</v>
      </c>
      <c r="K38" s="159">
        <f t="shared" ref="K38:L38" si="3">K29</f>
        <v>2400</v>
      </c>
      <c r="L38" s="160" t="str">
        <f t="shared" si="3"/>
        <v>PLASTIC BASKETS</v>
      </c>
      <c r="M38" s="161"/>
      <c r="N38" s="156">
        <f t="shared" ref="N38:O38" si="4">N29</f>
        <v>16800</v>
      </c>
      <c r="O38" s="156">
        <f t="shared" si="4"/>
        <v>19920</v>
      </c>
      <c r="P38" s="160"/>
      <c r="Q38" s="156">
        <f>Q29</f>
        <v>168000</v>
      </c>
      <c r="R38" s="7"/>
      <c r="S38" s="7" t="s">
        <v>826</v>
      </c>
      <c r="T38" s="7"/>
      <c r="U38" s="7"/>
      <c r="V38" s="32"/>
      <c r="W38" s="7"/>
      <c r="X38" s="7"/>
      <c r="Y38" s="7"/>
      <c r="Z38" s="7"/>
      <c r="AA38" s="7"/>
      <c r="AB38" s="208"/>
      <c r="AC38" s="204"/>
      <c r="AD38" s="204"/>
      <c r="AE38" s="221"/>
      <c r="AF38" s="204"/>
      <c r="AG38" s="204"/>
      <c r="AH38" s="204"/>
      <c r="AI38" s="222"/>
      <c r="AJ38" s="204"/>
      <c r="AK38" s="204"/>
      <c r="AL38" s="206"/>
    </row>
    <row r="39" spans="1:38" ht="12.75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 t="s">
        <v>827</v>
      </c>
      <c r="T39" s="7"/>
      <c r="U39" s="7" t="str">
        <f>VLOOKUP(Y8,'TOTAL - LCB'!$A$18:$AE$1019,31,FALSE)</f>
        <v>TS NAGOYA 25010N</v>
      </c>
      <c r="V39" s="7"/>
      <c r="W39" s="7"/>
      <c r="X39" s="7"/>
      <c r="Y39" s="7"/>
      <c r="Z39" s="7"/>
      <c r="AA39" s="7"/>
      <c r="AB39" s="208" t="str">
        <f>VLOOKUP(AJ4,'TOTAL - LCB'!$A$18:$AE$1019,7,FALSE)</f>
        <v>ZHEN GUO HOU</v>
      </c>
      <c r="AC39" s="221"/>
      <c r="AD39" s="204"/>
      <c r="AE39" s="221"/>
      <c r="AF39" s="204"/>
      <c r="AG39" s="204"/>
      <c r="AH39" s="204"/>
      <c r="AI39" s="204"/>
      <c r="AJ39" s="204"/>
      <c r="AK39" s="204"/>
      <c r="AL39" s="206"/>
    </row>
    <row r="40" spans="1:38" ht="12.75" customHeight="1">
      <c r="A40" s="7"/>
      <c r="B40" s="7"/>
      <c r="C40" s="7"/>
      <c r="D40" s="32"/>
      <c r="E40" s="7"/>
      <c r="F40" s="7"/>
      <c r="G40" s="7"/>
      <c r="H40" s="7"/>
      <c r="I40" s="7"/>
      <c r="J40" s="7"/>
      <c r="K40" s="7"/>
      <c r="L40" s="7"/>
      <c r="M40" s="32"/>
      <c r="N40" s="7"/>
      <c r="O40" s="7"/>
      <c r="P40" s="7"/>
      <c r="Q40" s="7"/>
      <c r="R40" s="7"/>
      <c r="S40" s="123" t="s">
        <v>1650</v>
      </c>
      <c r="T40" s="7"/>
      <c r="U40" s="7" t="str">
        <f>VLOOKUP(Y8,'TOTAL - LCB'!$A$18:$AE$1019,30,FALSE)</f>
        <v>NANSHA</v>
      </c>
      <c r="V40" s="32"/>
      <c r="W40" s="7"/>
      <c r="X40" s="7"/>
      <c r="Y40" s="7"/>
      <c r="Z40" s="7"/>
      <c r="AA40" s="7"/>
      <c r="AB40" s="208"/>
      <c r="AC40" s="221"/>
      <c r="AD40" s="204"/>
      <c r="AE40" s="221"/>
      <c r="AF40" s="204"/>
      <c r="AG40" s="204"/>
      <c r="AH40" s="204" t="s">
        <v>829</v>
      </c>
      <c r="AI40" s="195">
        <f>VLOOKUP(AJ4,'TOTAL - LCB'!$A$18:$AE$1019,19,FALSE)</f>
        <v>12</v>
      </c>
      <c r="AJ40" s="226" t="s">
        <v>830</v>
      </c>
      <c r="AK40" s="204"/>
      <c r="AL40" s="206"/>
    </row>
    <row r="41" spans="1:38" ht="12.75" customHeight="1">
      <c r="A41" s="7" t="s">
        <v>827</v>
      </c>
      <c r="B41" s="7"/>
      <c r="C41" s="7" t="str">
        <f>VLOOKUP(G8,'TOTAL - LCB'!$A$18:$AE$1019,31,FALSE)</f>
        <v>TS NAGOYA 25010N</v>
      </c>
      <c r="D41" s="7"/>
      <c r="E41" s="41" t="s">
        <v>831</v>
      </c>
      <c r="F41" s="112">
        <f>VLOOKUP(G8,'TOTAL - LCB'!$A$18:$AE$1019,28,FALSE)</f>
        <v>45827</v>
      </c>
      <c r="G41" s="7"/>
      <c r="H41" s="7"/>
      <c r="I41" s="7"/>
      <c r="J41" s="7" t="s">
        <v>827</v>
      </c>
      <c r="K41" s="7"/>
      <c r="L41" s="7" t="str">
        <f>VLOOKUP(P8,'TOTAL - LCB'!$A$18:$AE$1019,31,FALSE)</f>
        <v>TS NAGOYA 25010N</v>
      </c>
      <c r="M41" s="41"/>
      <c r="N41" s="41"/>
      <c r="O41" s="112"/>
      <c r="P41" s="7"/>
      <c r="Q41" s="7"/>
      <c r="R41" s="7"/>
      <c r="S41" s="32" t="s">
        <v>832</v>
      </c>
      <c r="T41" s="7"/>
      <c r="U41" s="7"/>
      <c r="V41" s="7" t="str">
        <f>VLOOKUP(Y8,'TOTAL - LCB'!$A$18:$AE$1019,30,FALSE)</f>
        <v>NANSHA</v>
      </c>
      <c r="W41" s="7"/>
      <c r="X41" s="7"/>
      <c r="Y41" s="7"/>
      <c r="Z41" s="7"/>
      <c r="AA41" s="7"/>
      <c r="AB41" s="208"/>
      <c r="AC41" s="221"/>
      <c r="AD41" s="204"/>
      <c r="AE41" s="221"/>
      <c r="AF41" s="204"/>
      <c r="AG41" s="221"/>
      <c r="AH41" s="204" t="s">
        <v>833</v>
      </c>
      <c r="AI41" s="227" t="str">
        <f>VLOOKUP(AJ4,'TOTAL - LCB'!$A$18:$AE$1019,20,FALSE)</f>
        <v>5%</v>
      </c>
      <c r="AJ41" s="204"/>
      <c r="AK41" s="204"/>
      <c r="AL41" s="206"/>
    </row>
    <row r="42" spans="1:38" ht="12.75" customHeight="1">
      <c r="A42" s="123" t="s">
        <v>834</v>
      </c>
      <c r="B42" s="7"/>
      <c r="C42" s="7" t="s">
        <v>804</v>
      </c>
      <c r="D42" s="32"/>
      <c r="E42" s="7"/>
      <c r="F42" s="7"/>
      <c r="G42" s="7"/>
      <c r="H42" s="7"/>
      <c r="I42" s="7"/>
      <c r="J42" s="123" t="s">
        <v>1650</v>
      </c>
      <c r="K42" s="7"/>
      <c r="L42" s="7" t="str">
        <f>VLOOKUP(P8,'TOTAL - LCB'!$A$18:$AE$1019,30,FALSE)</f>
        <v>NANSHA</v>
      </c>
      <c r="M42" s="32"/>
      <c r="N42" s="7"/>
      <c r="O42" s="7"/>
      <c r="P42" s="7"/>
      <c r="Q42" s="7"/>
      <c r="R42" s="7"/>
      <c r="S42" s="7" t="s">
        <v>835</v>
      </c>
      <c r="T42" s="7"/>
      <c r="U42" s="7" t="str">
        <f>VLOOKUP(Y8,'TOTAL - LCB'!$A$18:$AE$1019,10,FALSE)</f>
        <v>SEGU9513180</v>
      </c>
      <c r="V42" s="7"/>
      <c r="W42" s="7"/>
      <c r="X42" s="7"/>
      <c r="Y42" s="7"/>
      <c r="Z42" s="7"/>
      <c r="AA42" s="7"/>
      <c r="AB42" s="208"/>
      <c r="AC42" s="221"/>
      <c r="AD42" s="204"/>
      <c r="AE42" s="221"/>
      <c r="AF42" s="204"/>
      <c r="AG42" s="221"/>
      <c r="AH42" s="204"/>
      <c r="AI42" s="221"/>
      <c r="AJ42" s="204"/>
      <c r="AK42" s="204"/>
      <c r="AL42" s="206"/>
    </row>
    <row r="43" spans="1:38" ht="12.75" customHeight="1">
      <c r="A43" s="32" t="s">
        <v>832</v>
      </c>
      <c r="B43" s="7"/>
      <c r="C43" s="7"/>
      <c r="D43" s="7" t="str">
        <f>VLOOKUP(G8,'TOTAL - LCB'!$A$18:$AE$1019,30,FALSE)</f>
        <v>NANSHA</v>
      </c>
      <c r="E43" s="7"/>
      <c r="F43" s="7"/>
      <c r="G43" s="7"/>
      <c r="H43" s="7"/>
      <c r="I43" s="7"/>
      <c r="J43" s="32" t="s">
        <v>832</v>
      </c>
      <c r="K43" s="7"/>
      <c r="L43" s="7"/>
      <c r="M43" s="7" t="str">
        <f>VLOOKUP(P8,'TOTAL - LCB'!$A$18:$AE$1019,30,FALSE)</f>
        <v>NANSHA</v>
      </c>
      <c r="N43" s="7"/>
      <c r="O43" s="7"/>
      <c r="P43" s="7"/>
      <c r="Q43" s="7"/>
      <c r="R43" s="7"/>
      <c r="S43" s="7"/>
      <c r="T43" s="7"/>
      <c r="U43" s="162"/>
      <c r="V43" s="7"/>
      <c r="W43" s="7"/>
      <c r="X43" s="7"/>
      <c r="Y43" s="7"/>
      <c r="Z43" s="7"/>
      <c r="AA43" s="7"/>
      <c r="AB43" s="208"/>
      <c r="AC43" s="221"/>
      <c r="AD43" s="204"/>
      <c r="AE43" s="221"/>
      <c r="AF43" s="204"/>
      <c r="AG43" s="221"/>
      <c r="AH43" s="204"/>
      <c r="AI43" s="221"/>
      <c r="AJ43" s="204"/>
      <c r="AK43" s="204"/>
      <c r="AL43" s="206"/>
    </row>
    <row r="44" spans="1:38" ht="12.75" customHeight="1">
      <c r="A44" s="7" t="s">
        <v>835</v>
      </c>
      <c r="B44" s="7"/>
      <c r="C44" s="7" t="str">
        <f>VLOOKUP(G8,'TOTAL - LCB'!$A$18:$AE$1019,10,FALSE)</f>
        <v>SEGU9513180</v>
      </c>
      <c r="D44" s="7"/>
      <c r="E44" s="7"/>
      <c r="F44" s="7"/>
      <c r="G44" s="7"/>
      <c r="H44" s="7"/>
      <c r="I44" s="7"/>
      <c r="J44" s="7" t="s">
        <v>835</v>
      </c>
      <c r="K44" s="7"/>
      <c r="L44" s="7" t="str">
        <f>VLOOKUP(P8,'TOTAL - LCB'!$A$18:$AE$1019,10,FALSE)</f>
        <v>SEGU9513180</v>
      </c>
      <c r="M44" s="7"/>
      <c r="N44" s="7"/>
      <c r="O44" s="7"/>
      <c r="P44" s="7"/>
      <c r="Q44" s="7"/>
      <c r="R44" s="7"/>
      <c r="S44" s="7" t="s">
        <v>824</v>
      </c>
      <c r="T44" s="7"/>
      <c r="U44" s="42">
        <f>VLOOKUP(Y8,'TOTAL - LCB'!$A$18:$AE$1019,17,FALSE)</f>
        <v>2400</v>
      </c>
      <c r="V44" s="7" t="str">
        <f>VLOOKUP(G8,'TOTAL - LCB'!$A$18:$AE$1019,18,FALSE)</f>
        <v>PLASTIC BASKETS</v>
      </c>
      <c r="W44" s="7"/>
      <c r="X44" s="7"/>
      <c r="Y44" s="7"/>
      <c r="Z44" s="7"/>
      <c r="AA44" s="7"/>
      <c r="AB44" s="208"/>
      <c r="AC44" s="221"/>
      <c r="AD44" s="204"/>
      <c r="AE44" s="221"/>
      <c r="AF44" s="204"/>
      <c r="AG44" s="221"/>
      <c r="AH44" s="204" t="s">
        <v>836</v>
      </c>
      <c r="AI44" s="221"/>
      <c r="AJ44" s="204"/>
      <c r="AK44" s="204"/>
      <c r="AL44" s="206"/>
    </row>
    <row r="45" spans="1:38" ht="12.75" customHeight="1">
      <c r="A45" s="7"/>
      <c r="B45" s="7"/>
      <c r="C45" s="162"/>
      <c r="D45" s="7"/>
      <c r="E45" s="7"/>
      <c r="F45" s="7"/>
      <c r="G45" s="7"/>
      <c r="H45" s="7"/>
      <c r="I45" s="7"/>
      <c r="J45" s="7"/>
      <c r="K45" s="7"/>
      <c r="L45" s="162"/>
      <c r="M45" s="7"/>
      <c r="N45" s="7"/>
      <c r="O45" s="7"/>
      <c r="P45" s="7"/>
      <c r="Q45" s="7"/>
      <c r="R45" s="7"/>
      <c r="S45" s="7" t="s">
        <v>837</v>
      </c>
      <c r="T45" s="7"/>
      <c r="U45" s="39">
        <f>N29</f>
        <v>16800</v>
      </c>
      <c r="V45" s="7" t="s">
        <v>838</v>
      </c>
      <c r="W45" s="7"/>
      <c r="X45" s="7"/>
      <c r="Y45" s="7"/>
      <c r="Z45" s="7"/>
      <c r="AA45" s="7"/>
      <c r="AB45" s="208"/>
      <c r="AC45" s="221"/>
      <c r="AD45" s="204"/>
      <c r="AE45" s="221"/>
      <c r="AF45" s="204"/>
      <c r="AG45" s="221"/>
      <c r="AH45" s="204" t="s">
        <v>839</v>
      </c>
      <c r="AI45" s="221"/>
      <c r="AJ45" s="204"/>
      <c r="AK45" s="204"/>
      <c r="AL45" s="206"/>
    </row>
    <row r="46" spans="1:38" ht="12.75" customHeight="1">
      <c r="A46" s="7" t="s">
        <v>824</v>
      </c>
      <c r="B46" s="7"/>
      <c r="C46" s="42">
        <f>VLOOKUP(G8,'TOTAL - LCB'!$A$18:$AE$1019,17,FALSE)</f>
        <v>2400</v>
      </c>
      <c r="D46" s="7" t="str">
        <f>VLOOKUP(G8,'TOTAL - LCB'!$A$18:$AE$1019,18,FALSE)</f>
        <v>PLASTIC BASKETS</v>
      </c>
      <c r="E46" s="7"/>
      <c r="F46" s="7"/>
      <c r="G46" s="7"/>
      <c r="H46" s="7"/>
      <c r="I46" s="7"/>
      <c r="J46" s="7" t="s">
        <v>824</v>
      </c>
      <c r="K46" s="7"/>
      <c r="L46" s="42">
        <f>VLOOKUP(P8,'TOTAL - LCB'!$A$18:$AE$1019,17,FALSE)</f>
        <v>2400</v>
      </c>
      <c r="M46" s="7" t="str">
        <f>VLOOKUP(G8,'TOTAL - LCB'!$A$18:$AE$1019,18,FALSE)</f>
        <v>PLASTIC BASKETS</v>
      </c>
      <c r="N46" s="7"/>
      <c r="O46" s="7"/>
      <c r="P46" s="7"/>
      <c r="Q46" s="7"/>
      <c r="R46" s="7"/>
      <c r="S46" s="7" t="s">
        <v>840</v>
      </c>
      <c r="T46" s="7"/>
      <c r="U46" s="39">
        <f>O29</f>
        <v>19920</v>
      </c>
      <c r="V46" s="7" t="s">
        <v>838</v>
      </c>
      <c r="W46" s="7"/>
      <c r="X46" s="7"/>
      <c r="Y46" s="7"/>
      <c r="Z46" s="7"/>
      <c r="AA46" s="7"/>
      <c r="AB46" s="208"/>
      <c r="AC46" s="221"/>
      <c r="AD46" s="204"/>
      <c r="AE46" s="221"/>
      <c r="AF46" s="204"/>
      <c r="AG46" s="221"/>
      <c r="AH46" s="204" t="s">
        <v>841</v>
      </c>
      <c r="AI46" s="221"/>
      <c r="AJ46" s="204"/>
      <c r="AK46" s="204"/>
      <c r="AL46" s="206"/>
    </row>
    <row r="47" spans="1:38" ht="12.75" customHeight="1">
      <c r="A47" s="7" t="s">
        <v>837</v>
      </c>
      <c r="B47" s="7"/>
      <c r="C47" s="39">
        <f>E29</f>
        <v>16800</v>
      </c>
      <c r="D47" s="7" t="s">
        <v>838</v>
      </c>
      <c r="E47" s="7"/>
      <c r="F47" s="7"/>
      <c r="G47" s="7"/>
      <c r="H47" s="7"/>
      <c r="I47" s="7"/>
      <c r="J47" s="7" t="s">
        <v>837</v>
      </c>
      <c r="K47" s="7"/>
      <c r="L47" s="39">
        <f>N29</f>
        <v>16800</v>
      </c>
      <c r="M47" s="7" t="s">
        <v>838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208"/>
      <c r="AC47" s="221"/>
      <c r="AD47" s="204"/>
      <c r="AE47" s="221"/>
      <c r="AF47" s="204"/>
      <c r="AG47" s="221"/>
      <c r="AH47" s="204"/>
      <c r="AI47" s="204"/>
      <c r="AJ47" s="204"/>
      <c r="AK47" s="204"/>
      <c r="AL47" s="206"/>
    </row>
    <row r="48" spans="1:38" ht="12.75" customHeight="1">
      <c r="A48" s="7" t="s">
        <v>840</v>
      </c>
      <c r="B48" s="7"/>
      <c r="C48" s="39">
        <f>F29</f>
        <v>19920</v>
      </c>
      <c r="D48" s="7" t="s">
        <v>838</v>
      </c>
      <c r="E48" s="7"/>
      <c r="F48" s="7"/>
      <c r="G48" s="7"/>
      <c r="H48" s="7"/>
      <c r="I48" s="7"/>
      <c r="J48" s="7" t="s">
        <v>840</v>
      </c>
      <c r="K48" s="7"/>
      <c r="L48" s="39">
        <f>O29</f>
        <v>19920</v>
      </c>
      <c r="M48" s="7" t="s">
        <v>838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216" t="s">
        <v>842</v>
      </c>
      <c r="AC48" s="221"/>
      <c r="AD48" s="204"/>
      <c r="AE48" s="221"/>
      <c r="AF48" s="204"/>
      <c r="AG48" s="221"/>
      <c r="AH48" s="204"/>
      <c r="AI48" s="204"/>
      <c r="AJ48" s="204"/>
      <c r="AK48" s="204"/>
      <c r="AL48" s="206"/>
    </row>
    <row r="49" spans="1:38" ht="12.75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228" t="s">
        <v>843</v>
      </c>
      <c r="AC49" s="163"/>
      <c r="AD49" s="126"/>
      <c r="AE49" s="126"/>
      <c r="AF49" s="126"/>
      <c r="AG49" s="126"/>
      <c r="AH49" s="126"/>
      <c r="AI49" s="204"/>
      <c r="AJ49" s="204"/>
      <c r="AK49" s="204"/>
      <c r="AL49" s="206"/>
    </row>
    <row r="50" spans="1:38" ht="12.75" customHeight="1">
      <c r="A50" s="7" t="s">
        <v>829</v>
      </c>
      <c r="B50" s="30">
        <f>VLOOKUP(G8,'TOTAL - LCB'!$A$18:$AE$1019,19,FALSE)</f>
        <v>12</v>
      </c>
      <c r="C50" s="7" t="s">
        <v>830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216" t="s">
        <v>844</v>
      </c>
      <c r="AC50" s="221"/>
      <c r="AD50" s="204"/>
      <c r="AE50" s="204"/>
      <c r="AF50" s="204"/>
      <c r="AG50" s="204"/>
      <c r="AH50" s="204"/>
      <c r="AI50" s="129"/>
      <c r="AJ50" s="129"/>
      <c r="AK50" s="129"/>
      <c r="AL50" s="229"/>
    </row>
    <row r="51" spans="1:38" ht="12.75" customHeight="1">
      <c r="A51" s="7" t="s">
        <v>833</v>
      </c>
      <c r="B51" s="63" t="str">
        <f>VLOOKUP(G8,'TOTAL - LCB'!$A$18:$AE$1019,20,FALSE)</f>
        <v>5%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230">
        <f>VLOOKUP(AJ4,'TOTAL - LCB'!$A$18:$AE$1019,17,FALSE)</f>
        <v>2400</v>
      </c>
      <c r="AC51" s="163" t="str">
        <f>VLOOKUP(AJ4,'TOTAL - LCB'!$A$18:$AE$1019,18,FALSE)</f>
        <v>PLASTIC BASKETS</v>
      </c>
      <c r="AD51" s="126"/>
      <c r="AE51" s="126"/>
      <c r="AF51" s="126"/>
      <c r="AG51" s="126"/>
      <c r="AH51" s="126"/>
      <c r="AI51" s="126"/>
      <c r="AJ51" s="126"/>
      <c r="AK51" s="126"/>
      <c r="AL51" s="219"/>
    </row>
    <row r="52" spans="1:38" ht="12.75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216" t="s">
        <v>845</v>
      </c>
      <c r="AC52" s="221"/>
      <c r="AD52" s="204"/>
      <c r="AE52" s="204"/>
      <c r="AF52" s="204"/>
      <c r="AG52" s="204"/>
      <c r="AH52" s="151" t="s">
        <v>846</v>
      </c>
      <c r="AI52" s="129"/>
      <c r="AJ52" s="129"/>
      <c r="AK52" s="129"/>
      <c r="AL52" s="229"/>
    </row>
    <row r="53" spans="1:38" ht="12.75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216"/>
      <c r="AC53" s="204"/>
      <c r="AD53" s="204"/>
      <c r="AE53" s="204"/>
      <c r="AF53" s="204"/>
      <c r="AG53" s="204"/>
      <c r="AH53" s="204"/>
      <c r="AI53" s="204"/>
      <c r="AJ53" s="204"/>
      <c r="AK53" s="204"/>
      <c r="AL53" s="206"/>
    </row>
    <row r="54" spans="1:38" ht="12.75" customHeight="1" thickBo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208"/>
      <c r="AC54" s="204"/>
      <c r="AD54" s="204"/>
      <c r="AE54" s="204"/>
      <c r="AF54" s="204"/>
      <c r="AG54" s="204"/>
      <c r="AH54" s="204"/>
      <c r="AI54" s="204"/>
      <c r="AJ54" s="204"/>
      <c r="AK54" s="204"/>
      <c r="AL54" s="206"/>
    </row>
    <row r="55" spans="1:38" ht="12.75" customHeight="1">
      <c r="A55" s="164"/>
      <c r="B55" s="165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823"/>
      <c r="AC55" s="824"/>
      <c r="AD55" s="824"/>
      <c r="AE55" s="824"/>
      <c r="AF55" s="824"/>
      <c r="AG55" s="824"/>
      <c r="AH55" s="204"/>
      <c r="AI55" s="204"/>
      <c r="AJ55" s="204"/>
      <c r="AK55" s="204"/>
      <c r="AL55" s="206"/>
    </row>
    <row r="56" spans="1:38" ht="12.6" customHeight="1">
      <c r="A56" s="166" t="s">
        <v>184</v>
      </c>
      <c r="B56" s="167" t="str">
        <f>VLOOKUP(G8,'TOTAL - LCB'!$A$18:$AE$1019,5,FALSE)</f>
        <v>ล้งเฮียกุ่ย(มะขาม)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208"/>
      <c r="AC56" s="204"/>
      <c r="AD56" s="204"/>
      <c r="AE56" s="204"/>
      <c r="AF56" s="204"/>
      <c r="AG56" s="204"/>
      <c r="AH56" s="168" t="s">
        <v>847</v>
      </c>
      <c r="AI56" s="126"/>
      <c r="AJ56" s="126"/>
      <c r="AK56" s="126"/>
      <c r="AL56" s="219"/>
    </row>
    <row r="57" spans="1:38" ht="12.75" customHeight="1" thickBot="1">
      <c r="A57" s="169"/>
      <c r="B57" s="170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231"/>
      <c r="AC57" s="204"/>
      <c r="AD57" s="204"/>
      <c r="AE57" s="204"/>
      <c r="AF57" s="204"/>
      <c r="AG57" s="204"/>
      <c r="AH57" s="129"/>
      <c r="AI57" s="204"/>
      <c r="AJ57" s="204"/>
      <c r="AK57" s="204"/>
      <c r="AL57" s="206"/>
    </row>
    <row r="58" spans="1:38" ht="12.75" customHeight="1" thickBo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232"/>
      <c r="AC58" s="233"/>
      <c r="AD58" s="233"/>
      <c r="AE58" s="233"/>
      <c r="AF58" s="233"/>
      <c r="AG58" s="233"/>
      <c r="AH58" s="233" t="s">
        <v>848</v>
      </c>
      <c r="AI58" s="233"/>
      <c r="AJ58" s="233"/>
      <c r="AK58" s="233"/>
      <c r="AL58" s="234"/>
    </row>
    <row r="59" spans="1:38" ht="12.75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</row>
    <row r="60" spans="1:38" ht="12.75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</row>
    <row r="61" spans="1:38" ht="12.75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</row>
    <row r="62" spans="1:38" ht="12.75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</row>
    <row r="63" spans="1:38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</row>
    <row r="64" spans="1:38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</row>
    <row r="65" spans="1:38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</row>
    <row r="66" spans="1:38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</row>
    <row r="67" spans="1:38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</row>
    <row r="68" spans="1:3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</row>
    <row r="69" spans="1:38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</row>
    <row r="70" spans="1:38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</row>
    <row r="71" spans="1:38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</row>
    <row r="72" spans="1:38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</row>
    <row r="73" spans="1:38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</row>
    <row r="74" spans="1:38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</row>
    <row r="75" spans="1:38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</row>
    <row r="76" spans="1:38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</row>
    <row r="77" spans="1:38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</row>
    <row r="78" spans="1:3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</row>
    <row r="79" spans="1:38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</row>
    <row r="80" spans="1:38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</row>
    <row r="81" spans="1:38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</row>
    <row r="82" spans="1:38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</row>
    <row r="83" spans="1:38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</row>
    <row r="84" spans="1:38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</row>
    <row r="85" spans="1:38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</row>
    <row r="86" spans="1:38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</row>
    <row r="87" spans="1:38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</row>
    <row r="88" spans="1:3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</row>
    <row r="89" spans="1:38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</row>
    <row r="90" spans="1:38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</row>
    <row r="91" spans="1:38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</row>
    <row r="92" spans="1:38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</row>
    <row r="93" spans="1:38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</row>
    <row r="94" spans="1:38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</row>
    <row r="95" spans="1:38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</row>
    <row r="96" spans="1:38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</row>
    <row r="97" spans="1:38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</row>
    <row r="98" spans="1:3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</row>
    <row r="99" spans="1:38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</row>
    <row r="100" spans="1:38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</row>
    <row r="101" spans="1:38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</row>
    <row r="102" spans="1:38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</row>
    <row r="103" spans="1:38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</row>
    <row r="104" spans="1:38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</row>
    <row r="105" spans="1:38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</row>
    <row r="106" spans="1:38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</row>
    <row r="107" spans="1:38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</row>
    <row r="108" spans="1:3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</row>
    <row r="109" spans="1:38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</row>
    <row r="110" spans="1:38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</row>
    <row r="111" spans="1:38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</row>
    <row r="112" spans="1:38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</row>
    <row r="113" spans="1:38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</row>
    <row r="115" spans="1:38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</row>
    <row r="116" spans="1:38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</row>
    <row r="117" spans="1:38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</row>
    <row r="118" spans="1:3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</row>
    <row r="119" spans="1:38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</row>
    <row r="120" spans="1:38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</row>
    <row r="121" spans="1:38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</row>
    <row r="122" spans="1:38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</row>
    <row r="123" spans="1:38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</row>
    <row r="124" spans="1:38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</row>
    <row r="125" spans="1:38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</row>
    <row r="126" spans="1:38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</row>
    <row r="127" spans="1:38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</row>
    <row r="128" spans="1:3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</row>
    <row r="129" spans="1:38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</row>
    <row r="130" spans="1:38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</row>
    <row r="131" spans="1:38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</row>
    <row r="132" spans="1:38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</row>
    <row r="133" spans="1:38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</row>
    <row r="134" spans="1:38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</row>
    <row r="135" spans="1:38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</row>
    <row r="136" spans="1:38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</row>
    <row r="137" spans="1:38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</row>
    <row r="138" spans="1: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</row>
    <row r="139" spans="1:38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</row>
    <row r="140" spans="1:38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</row>
    <row r="141" spans="1:38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</row>
    <row r="142" spans="1:38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</row>
    <row r="143" spans="1:38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</row>
    <row r="144" spans="1:38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</row>
    <row r="145" spans="1:38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</row>
    <row r="146" spans="1:38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</row>
    <row r="147" spans="1:38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</row>
    <row r="148" spans="1:3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</row>
    <row r="149" spans="1:38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</row>
    <row r="150" spans="1:38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</row>
    <row r="151" spans="1:38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</row>
    <row r="152" spans="1:38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</row>
    <row r="153" spans="1:38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</row>
    <row r="154" spans="1:38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</row>
    <row r="155" spans="1:38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</row>
    <row r="156" spans="1:38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</row>
    <row r="157" spans="1:38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</row>
    <row r="158" spans="1:3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</row>
    <row r="159" spans="1:38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</row>
    <row r="160" spans="1:38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</row>
    <row r="161" spans="1:38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</row>
    <row r="162" spans="1:38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</row>
    <row r="163" spans="1:38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</row>
    <row r="164" spans="1:38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</row>
    <row r="165" spans="1:38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</row>
    <row r="166" spans="1:38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</row>
    <row r="167" spans="1:38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</row>
    <row r="168" spans="1:3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</row>
    <row r="169" spans="1:38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</row>
    <row r="170" spans="1:38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</row>
    <row r="171" spans="1:38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</row>
    <row r="172" spans="1:38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</row>
    <row r="173" spans="1:38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</row>
    <row r="174" spans="1:38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</row>
    <row r="175" spans="1:38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</row>
    <row r="176" spans="1:38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</row>
    <row r="177" spans="1:38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</row>
    <row r="178" spans="1:3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</row>
    <row r="179" spans="1:38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</row>
    <row r="180" spans="1:38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</row>
    <row r="181" spans="1:38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</row>
    <row r="182" spans="1:38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</row>
    <row r="183" spans="1:38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</row>
    <row r="184" spans="1:38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</row>
    <row r="185" spans="1:38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</row>
    <row r="186" spans="1:38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</row>
    <row r="187" spans="1:38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</row>
    <row r="188" spans="1:3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</row>
    <row r="189" spans="1:38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</row>
    <row r="190" spans="1:38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</row>
    <row r="191" spans="1:38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</row>
    <row r="192" spans="1:38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</row>
    <row r="193" spans="1:38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</row>
    <row r="194" spans="1:38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</row>
    <row r="195" spans="1:38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</row>
    <row r="196" spans="1:38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</row>
    <row r="197" spans="1:38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</row>
    <row r="198" spans="1:3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</row>
    <row r="199" spans="1:38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</row>
    <row r="200" spans="1:38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</row>
    <row r="201" spans="1:38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</row>
    <row r="202" spans="1:38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</row>
    <row r="203" spans="1:38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</row>
    <row r="204" spans="1:38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</row>
    <row r="205" spans="1:38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</row>
    <row r="206" spans="1:38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</row>
    <row r="207" spans="1:38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</row>
    <row r="208" spans="1:3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</row>
    <row r="209" spans="1:38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</row>
    <row r="210" spans="1:38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</row>
    <row r="211" spans="1:38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</row>
    <row r="212" spans="1:38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</row>
    <row r="213" spans="1:38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</row>
    <row r="214" spans="1:38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</row>
    <row r="215" spans="1:38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</row>
    <row r="216" spans="1:38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</row>
    <row r="217" spans="1:38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</row>
    <row r="218" spans="1:3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</row>
    <row r="219" spans="1:38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</row>
    <row r="220" spans="1:38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</row>
    <row r="221" spans="1:38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</row>
    <row r="222" spans="1:38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</row>
    <row r="223" spans="1:38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</row>
    <row r="224" spans="1:38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</row>
    <row r="225" spans="1:38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</row>
    <row r="226" spans="1:38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</row>
    <row r="227" spans="1:38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</row>
    <row r="228" spans="1:3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</row>
    <row r="229" spans="1:38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</row>
    <row r="230" spans="1:38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</row>
    <row r="231" spans="1:38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</row>
    <row r="232" spans="1:38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</row>
    <row r="233" spans="1:38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</row>
    <row r="234" spans="1:38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</row>
    <row r="235" spans="1:38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</row>
    <row r="236" spans="1:38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</row>
    <row r="237" spans="1:38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</row>
    <row r="238" spans="1: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</row>
    <row r="239" spans="1:38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</row>
    <row r="240" spans="1:38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</row>
    <row r="241" spans="1:38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</row>
    <row r="242" spans="1:38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</row>
    <row r="243" spans="1:38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</row>
    <row r="244" spans="1:38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</row>
    <row r="245" spans="1:38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</row>
    <row r="246" spans="1:38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</row>
    <row r="247" spans="1:38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</row>
    <row r="248" spans="1:3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</row>
    <row r="249" spans="1:38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</row>
    <row r="250" spans="1:38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</row>
    <row r="251" spans="1:38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</row>
    <row r="252" spans="1:38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</row>
    <row r="253" spans="1:38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</row>
    <row r="254" spans="1:38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</row>
    <row r="255" spans="1:38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</row>
    <row r="256" spans="1:38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</row>
    <row r="257" spans="1:38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</row>
    <row r="258" spans="1:3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</row>
    <row r="259" spans="1:38" ht="15.75" customHeight="1"/>
    <row r="260" spans="1:38" ht="15.75" customHeight="1"/>
    <row r="261" spans="1:38" ht="15.75" customHeight="1"/>
    <row r="262" spans="1:38" ht="15.75" customHeight="1"/>
    <row r="263" spans="1:38" ht="15.75" customHeight="1"/>
    <row r="264" spans="1:38" ht="15.75" customHeight="1"/>
    <row r="265" spans="1:38" ht="15.75" customHeight="1"/>
    <row r="266" spans="1:38" ht="15.75" customHeight="1"/>
    <row r="267" spans="1:38" ht="15.75" customHeight="1"/>
    <row r="268" spans="1:38" ht="15.75" customHeight="1"/>
    <row r="269" spans="1:38" ht="15.75" customHeight="1"/>
    <row r="270" spans="1:38" ht="15.75" customHeight="1"/>
    <row r="271" spans="1:38" ht="15.75" customHeight="1"/>
    <row r="272" spans="1:38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24">
    <mergeCell ref="A1:H1"/>
    <mergeCell ref="J1:Q1"/>
    <mergeCell ref="S1:Z1"/>
    <mergeCell ref="A2:H2"/>
    <mergeCell ref="J2:Q2"/>
    <mergeCell ref="S2:Z2"/>
    <mergeCell ref="A3:H3"/>
    <mergeCell ref="J3:Q3"/>
    <mergeCell ref="S3:Z3"/>
    <mergeCell ref="A5:H5"/>
    <mergeCell ref="J5:Q5"/>
    <mergeCell ref="S5:Z5"/>
    <mergeCell ref="Z26:Z35"/>
    <mergeCell ref="S36:U36"/>
    <mergeCell ref="X36:Y36"/>
    <mergeCell ref="AB55:AG55"/>
    <mergeCell ref="T24:U24"/>
    <mergeCell ref="X24:Y25"/>
    <mergeCell ref="T25:U25"/>
    <mergeCell ref="S26:S35"/>
    <mergeCell ref="T26:U35"/>
    <mergeCell ref="V26:V35"/>
    <mergeCell ref="W26:W35"/>
    <mergeCell ref="X26:Y35"/>
  </mergeCells>
  <pageMargins left="0.25" right="0.25" top="0.75" bottom="0.75" header="0" footer="0"/>
  <pageSetup paperSize="9" scale="9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889C5-21CF-4F24-A899-A929BEF11934}">
  <sheetPr codeName="Sheet5">
    <tabColor theme="0" tint="-4.9989318521683403E-2"/>
  </sheetPr>
  <dimension ref="A1:AL1001"/>
  <sheetViews>
    <sheetView topLeftCell="A22" zoomScaleNormal="100" workbookViewId="0">
      <selection activeCell="G6" sqref="G6"/>
    </sheetView>
  </sheetViews>
  <sheetFormatPr defaultColWidth="14.42578125" defaultRowHeight="15" customHeight="1"/>
  <cols>
    <col min="1" max="1" width="12.28515625" customWidth="1"/>
    <col min="2" max="2" width="11.140625" customWidth="1"/>
    <col min="3" max="3" width="21.28515625" bestFit="1" customWidth="1"/>
    <col min="4" max="4" width="20" customWidth="1"/>
    <col min="5" max="6" width="13" customWidth="1"/>
    <col min="7" max="7" width="14.28515625" customWidth="1"/>
    <col min="8" max="8" width="12.42578125" customWidth="1"/>
    <col min="9" max="9" width="0.85546875" customWidth="1"/>
    <col min="10" max="10" width="13.28515625" customWidth="1"/>
    <col min="11" max="11" width="11.140625" customWidth="1"/>
    <col min="12" max="12" width="21.28515625" bestFit="1" customWidth="1"/>
    <col min="13" max="13" width="20" customWidth="1"/>
    <col min="14" max="15" width="13" customWidth="1"/>
    <col min="16" max="16" width="12.28515625" customWidth="1"/>
    <col min="17" max="17" width="12.5703125" bestFit="1" customWidth="1"/>
    <col min="18" max="18" width="0.7109375" customWidth="1"/>
    <col min="19" max="19" width="12.42578125" customWidth="1"/>
    <col min="20" max="20" width="6.85546875" customWidth="1"/>
    <col min="21" max="21" width="13" customWidth="1"/>
    <col min="22" max="22" width="17.5703125" customWidth="1"/>
    <col min="23" max="23" width="17.85546875" customWidth="1"/>
    <col min="24" max="24" width="12" customWidth="1"/>
    <col min="25" max="25" width="12.7109375" bestFit="1" customWidth="1"/>
    <col min="26" max="26" width="14.28515625" bestFit="1" customWidth="1"/>
    <col min="27" max="27" width="2.28515625" customWidth="1"/>
    <col min="28" max="30" width="9" customWidth="1"/>
    <col min="31" max="31" width="11.7109375" customWidth="1"/>
    <col min="32" max="32" width="9" customWidth="1"/>
    <col min="33" max="33" width="8.28515625" customWidth="1"/>
    <col min="34" max="36" width="10.7109375" customWidth="1"/>
    <col min="37" max="37" width="11.7109375" customWidth="1"/>
    <col min="38" max="38" width="11.140625" customWidth="1"/>
  </cols>
  <sheetData>
    <row r="1" spans="1:38" ht="12.75" customHeight="1">
      <c r="A1" s="815" t="s">
        <v>1076</v>
      </c>
      <c r="B1" s="816"/>
      <c r="C1" s="816"/>
      <c r="D1" s="816"/>
      <c r="E1" s="816"/>
      <c r="F1" s="816"/>
      <c r="G1" s="816"/>
      <c r="H1" s="816"/>
      <c r="I1" s="119"/>
      <c r="J1" s="815" t="s">
        <v>1076</v>
      </c>
      <c r="K1" s="816"/>
      <c r="L1" s="816"/>
      <c r="M1" s="816"/>
      <c r="N1" s="816"/>
      <c r="O1" s="816"/>
      <c r="P1" s="816"/>
      <c r="Q1" s="816"/>
      <c r="R1" s="119"/>
      <c r="S1" s="815" t="s">
        <v>1076</v>
      </c>
      <c r="T1" s="816"/>
      <c r="U1" s="816"/>
      <c r="V1" s="816"/>
      <c r="W1" s="816"/>
      <c r="X1" s="816"/>
      <c r="Y1" s="816"/>
      <c r="Z1" s="816"/>
      <c r="AA1" s="119"/>
      <c r="AB1" s="198" t="s">
        <v>762</v>
      </c>
      <c r="AC1" s="199"/>
      <c r="AD1" s="199"/>
      <c r="AE1" s="199"/>
      <c r="AF1" s="199"/>
      <c r="AG1" s="200"/>
      <c r="AH1" s="199"/>
      <c r="AI1" s="199"/>
      <c r="AJ1" s="199"/>
      <c r="AK1" s="199"/>
      <c r="AL1" s="201"/>
    </row>
    <row r="2" spans="1:38" ht="12.75" customHeight="1">
      <c r="A2" s="817" t="s">
        <v>1077</v>
      </c>
      <c r="B2" s="816"/>
      <c r="C2" s="816"/>
      <c r="D2" s="816"/>
      <c r="E2" s="816"/>
      <c r="F2" s="816"/>
      <c r="G2" s="816"/>
      <c r="H2" s="816"/>
      <c r="I2" s="70"/>
      <c r="J2" s="817" t="s">
        <v>1077</v>
      </c>
      <c r="K2" s="816"/>
      <c r="L2" s="816"/>
      <c r="M2" s="816"/>
      <c r="N2" s="816"/>
      <c r="O2" s="816"/>
      <c r="P2" s="816"/>
      <c r="Q2" s="816"/>
      <c r="R2" s="70"/>
      <c r="S2" s="817" t="s">
        <v>1077</v>
      </c>
      <c r="T2" s="816"/>
      <c r="U2" s="816"/>
      <c r="V2" s="816"/>
      <c r="W2" s="816"/>
      <c r="X2" s="816"/>
      <c r="Y2" s="816"/>
      <c r="Z2" s="816"/>
      <c r="AA2" s="70"/>
      <c r="AB2" s="202" t="s">
        <v>1076</v>
      </c>
      <c r="AC2" s="203"/>
      <c r="AD2" s="203"/>
      <c r="AE2" s="203"/>
      <c r="AF2" s="203"/>
      <c r="AG2" s="120"/>
      <c r="AH2" s="204"/>
      <c r="AI2" s="205" t="s">
        <v>763</v>
      </c>
      <c r="AJ2" s="204"/>
      <c r="AK2" s="204"/>
      <c r="AL2" s="206"/>
    </row>
    <row r="3" spans="1:38" ht="12.75" customHeight="1">
      <c r="A3" s="817" t="s">
        <v>764</v>
      </c>
      <c r="B3" s="816"/>
      <c r="C3" s="816"/>
      <c r="D3" s="816"/>
      <c r="E3" s="816"/>
      <c r="F3" s="816"/>
      <c r="G3" s="816"/>
      <c r="H3" s="816"/>
      <c r="I3" s="70"/>
      <c r="J3" s="817" t="s">
        <v>764</v>
      </c>
      <c r="K3" s="816"/>
      <c r="L3" s="816"/>
      <c r="M3" s="816"/>
      <c r="N3" s="816"/>
      <c r="O3" s="816"/>
      <c r="P3" s="816"/>
      <c r="Q3" s="816"/>
      <c r="R3" s="70"/>
      <c r="S3" s="817" t="s">
        <v>764</v>
      </c>
      <c r="T3" s="816"/>
      <c r="U3" s="816"/>
      <c r="V3" s="816"/>
      <c r="W3" s="816"/>
      <c r="X3" s="816"/>
      <c r="Y3" s="816"/>
      <c r="Z3" s="816"/>
      <c r="AA3" s="70"/>
      <c r="AB3" s="202" t="s">
        <v>1095</v>
      </c>
      <c r="AC3" s="203"/>
      <c r="AD3" s="203"/>
      <c r="AE3" s="203"/>
      <c r="AF3" s="203"/>
      <c r="AG3" s="120"/>
      <c r="AH3" s="204"/>
      <c r="AI3" s="204" t="s">
        <v>1076</v>
      </c>
      <c r="AJ3" s="204"/>
      <c r="AK3" s="204"/>
      <c r="AL3" s="206"/>
    </row>
    <row r="4" spans="1:38" ht="12.75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202" t="s">
        <v>765</v>
      </c>
      <c r="AC4" s="203"/>
      <c r="AD4" s="203"/>
      <c r="AE4" s="203"/>
      <c r="AF4" s="203"/>
      <c r="AG4" s="120"/>
      <c r="AH4" s="204"/>
      <c r="AI4" s="207" t="s">
        <v>766</v>
      </c>
      <c r="AJ4" s="207" t="str">
        <f>G8</f>
        <v>DYY-LCH25052</v>
      </c>
      <c r="AK4" s="204"/>
      <c r="AL4" s="206"/>
    </row>
    <row r="5" spans="1:38" ht="12.75" customHeight="1">
      <c r="A5" s="818" t="s">
        <v>767</v>
      </c>
      <c r="B5" s="816"/>
      <c r="C5" s="816"/>
      <c r="D5" s="816"/>
      <c r="E5" s="816"/>
      <c r="F5" s="816"/>
      <c r="G5" s="816"/>
      <c r="H5" s="816"/>
      <c r="I5" s="122"/>
      <c r="J5" s="818" t="s">
        <v>767</v>
      </c>
      <c r="K5" s="816"/>
      <c r="L5" s="816"/>
      <c r="M5" s="816"/>
      <c r="N5" s="816"/>
      <c r="O5" s="816"/>
      <c r="P5" s="816"/>
      <c r="Q5" s="816"/>
      <c r="R5" s="122"/>
      <c r="S5" s="818" t="s">
        <v>768</v>
      </c>
      <c r="T5" s="816"/>
      <c r="U5" s="816"/>
      <c r="V5" s="816"/>
      <c r="W5" s="816"/>
      <c r="X5" s="816"/>
      <c r="Y5" s="816"/>
      <c r="Z5" s="816"/>
      <c r="AA5" s="122"/>
      <c r="AB5" s="208" t="s">
        <v>1096</v>
      </c>
      <c r="AC5" s="203"/>
      <c r="AD5" s="203"/>
      <c r="AE5" s="203"/>
      <c r="AF5" s="203"/>
      <c r="AG5" s="120"/>
      <c r="AH5" s="204"/>
      <c r="AI5" s="204"/>
      <c r="AJ5" s="204"/>
      <c r="AK5" s="204"/>
      <c r="AL5" s="206"/>
    </row>
    <row r="6" spans="1:38" ht="12.75" customHeight="1">
      <c r="A6" s="7"/>
      <c r="B6" s="123"/>
      <c r="C6" s="123"/>
      <c r="D6" s="123"/>
      <c r="E6" s="123"/>
      <c r="F6" s="7" t="s">
        <v>769</v>
      </c>
      <c r="G6" s="122" t="str">
        <f>VLOOKUP(G8,'TOTAL - LCB'!$A$18:$AE$1019,12,FALSE)</f>
        <v>DYY-LCH25052</v>
      </c>
      <c r="H6" s="123"/>
      <c r="I6" s="123"/>
      <c r="J6" s="7"/>
      <c r="K6" s="123"/>
      <c r="L6" s="123"/>
      <c r="M6" s="123"/>
      <c r="N6" s="123"/>
      <c r="O6" s="7" t="s">
        <v>769</v>
      </c>
      <c r="P6" s="124" t="str">
        <f>VLOOKUP(P8,'TOTAL - LCB'!$A$18:$AE$1019,12,FALSE)</f>
        <v>DYY-LCH25052</v>
      </c>
      <c r="Q6" s="123"/>
      <c r="R6" s="123"/>
      <c r="S6" s="7"/>
      <c r="T6" s="123"/>
      <c r="U6" s="123"/>
      <c r="V6" s="123"/>
      <c r="W6" s="123"/>
      <c r="X6" s="7" t="s">
        <v>770</v>
      </c>
      <c r="Y6" s="124" t="str">
        <f>VLOOKUP(Y8,'TOTAL - LCB'!$A$18:$AE$1019,12,FALSE)</f>
        <v>DYY-LCH25052</v>
      </c>
      <c r="Z6" s="123"/>
      <c r="AA6" s="123"/>
      <c r="AB6" s="202" t="s">
        <v>771</v>
      </c>
      <c r="AC6" s="203"/>
      <c r="AD6" s="203"/>
      <c r="AE6" s="203"/>
      <c r="AF6" s="203"/>
      <c r="AG6" s="120"/>
      <c r="AH6" s="204"/>
      <c r="AI6" s="209" t="s">
        <v>772</v>
      </c>
      <c r="AJ6" s="209" t="s">
        <v>773</v>
      </c>
      <c r="AK6" s="204"/>
      <c r="AL6" s="206"/>
    </row>
    <row r="7" spans="1:38" ht="12.75" customHeight="1">
      <c r="A7" s="7"/>
      <c r="B7" s="7"/>
      <c r="C7" s="7"/>
      <c r="D7" s="7"/>
      <c r="E7" s="7"/>
      <c r="F7" s="7" t="s">
        <v>774</v>
      </c>
      <c r="G7" s="125">
        <f>VLOOKUP(G8,'TOTAL - LCB'!$A$18:$AE$1019,2,FALSE)</f>
        <v>45805</v>
      </c>
      <c r="H7" s="7"/>
      <c r="I7" s="7"/>
      <c r="J7" s="7"/>
      <c r="K7" s="7"/>
      <c r="L7" s="7"/>
      <c r="M7" s="7"/>
      <c r="N7" s="7"/>
      <c r="O7" s="7" t="s">
        <v>774</v>
      </c>
      <c r="P7" s="125">
        <f>VLOOKUP(P8,'TOTAL - LCB'!$A$18:$AE$1019,2,FALSE)</f>
        <v>45805</v>
      </c>
      <c r="Q7" s="7"/>
      <c r="R7" s="7"/>
      <c r="S7" s="7"/>
      <c r="T7" s="7"/>
      <c r="U7" s="7"/>
      <c r="V7" s="7"/>
      <c r="W7" s="7"/>
      <c r="X7" s="7" t="s">
        <v>774</v>
      </c>
      <c r="Y7" s="125">
        <f>VLOOKUP(Y8,'TOTAL - LCB'!$A$18:$AE$1019,2,FALSE)</f>
        <v>45805</v>
      </c>
      <c r="Z7" s="7"/>
      <c r="AA7" s="7"/>
      <c r="AB7" s="202"/>
      <c r="AC7" s="126"/>
      <c r="AD7" s="126"/>
      <c r="AE7" s="126"/>
      <c r="AF7" s="126"/>
      <c r="AG7" s="127"/>
      <c r="AH7" s="204"/>
      <c r="AI7" s="204"/>
      <c r="AJ7" s="209"/>
      <c r="AK7" s="204"/>
      <c r="AL7" s="206"/>
    </row>
    <row r="8" spans="1:38" ht="12.75" customHeight="1">
      <c r="A8" s="128" t="s">
        <v>775</v>
      </c>
      <c r="B8" s="7"/>
      <c r="C8" s="7"/>
      <c r="D8" s="7"/>
      <c r="E8" s="7"/>
      <c r="F8" s="121" t="s">
        <v>766</v>
      </c>
      <c r="G8" s="121" t="s">
        <v>1367</v>
      </c>
      <c r="H8" s="7"/>
      <c r="I8" s="7"/>
      <c r="J8" s="128" t="s">
        <v>775</v>
      </c>
      <c r="K8" s="7"/>
      <c r="L8" s="7"/>
      <c r="M8" s="7"/>
      <c r="N8" s="7"/>
      <c r="O8" s="121" t="s">
        <v>766</v>
      </c>
      <c r="P8" s="121" t="str">
        <f>G8</f>
        <v>DYY-LCH25052</v>
      </c>
      <c r="Q8" s="7"/>
      <c r="R8" s="7"/>
      <c r="S8" s="128" t="s">
        <v>776</v>
      </c>
      <c r="T8" s="7"/>
      <c r="U8" s="7"/>
      <c r="V8" s="7"/>
      <c r="W8" s="7"/>
      <c r="X8" s="121" t="s">
        <v>766</v>
      </c>
      <c r="Y8" s="121" t="str">
        <f>P8</f>
        <v>DYY-LCH25052</v>
      </c>
      <c r="Z8" s="7"/>
      <c r="AA8" s="7"/>
      <c r="AB8" s="210" t="s">
        <v>777</v>
      </c>
      <c r="AC8" s="129"/>
      <c r="AD8" s="129"/>
      <c r="AE8" s="129"/>
      <c r="AF8" s="129"/>
      <c r="AG8" s="130"/>
      <c r="AH8" s="204"/>
      <c r="AI8" s="205"/>
      <c r="AJ8" s="209"/>
      <c r="AK8" s="204"/>
      <c r="AL8" s="206"/>
    </row>
    <row r="9" spans="1:38" ht="12.75" customHeight="1">
      <c r="A9" s="24" t="s">
        <v>1619</v>
      </c>
      <c r="B9" s="7"/>
      <c r="C9" s="7"/>
      <c r="D9" s="7"/>
      <c r="E9" s="7"/>
      <c r="F9" s="7"/>
      <c r="G9" s="7"/>
      <c r="H9" s="7"/>
      <c r="I9" s="7"/>
      <c r="J9" s="24" t="s">
        <v>1619</v>
      </c>
      <c r="K9" s="7"/>
      <c r="L9" s="7"/>
      <c r="M9" s="7"/>
      <c r="N9" s="7"/>
      <c r="O9" s="7"/>
      <c r="P9" s="7"/>
      <c r="Q9" s="7"/>
      <c r="R9" s="7"/>
      <c r="S9" s="7" t="s">
        <v>1076</v>
      </c>
      <c r="T9" s="7"/>
      <c r="U9" s="7"/>
      <c r="V9" s="7"/>
      <c r="W9" s="7"/>
      <c r="X9" s="7"/>
      <c r="Y9" s="7"/>
      <c r="Z9" s="7"/>
      <c r="AA9" s="7"/>
      <c r="AB9" s="202" t="s">
        <v>1619</v>
      </c>
      <c r="AC9" s="204"/>
      <c r="AD9" s="204"/>
      <c r="AE9" s="204"/>
      <c r="AF9" s="204"/>
      <c r="AG9" s="131"/>
      <c r="AH9" s="204"/>
      <c r="AI9" s="212"/>
      <c r="AJ9" s="204"/>
      <c r="AK9" s="204"/>
      <c r="AL9" s="206"/>
    </row>
    <row r="10" spans="1:38" ht="12.75" customHeight="1">
      <c r="A10" s="24" t="s">
        <v>1620</v>
      </c>
      <c r="B10" s="7"/>
      <c r="C10" s="7"/>
      <c r="D10" s="7"/>
      <c r="E10" s="7"/>
      <c r="F10" s="7"/>
      <c r="G10" s="7"/>
      <c r="H10" s="7"/>
      <c r="I10" s="7"/>
      <c r="J10" s="24" t="s">
        <v>1620</v>
      </c>
      <c r="K10" s="7"/>
      <c r="L10" s="7"/>
      <c r="M10" s="7"/>
      <c r="N10" s="7"/>
      <c r="O10" s="7"/>
      <c r="P10" s="7"/>
      <c r="Q10" s="7"/>
      <c r="R10" s="7"/>
      <c r="S10" s="7" t="s">
        <v>1077</v>
      </c>
      <c r="T10" s="7"/>
      <c r="U10" s="7"/>
      <c r="V10" s="7"/>
      <c r="W10" s="7"/>
      <c r="X10" s="7"/>
      <c r="Y10" s="7"/>
      <c r="Z10" s="7"/>
      <c r="AA10" s="7"/>
      <c r="AB10" s="208" t="s">
        <v>1691</v>
      </c>
      <c r="AC10" s="205"/>
      <c r="AD10" s="204"/>
      <c r="AE10" s="204"/>
      <c r="AF10" s="204"/>
      <c r="AG10" s="131"/>
      <c r="AH10" s="204"/>
      <c r="AI10" s="213"/>
      <c r="AJ10" s="204"/>
      <c r="AK10" s="204"/>
      <c r="AL10" s="206"/>
    </row>
    <row r="11" spans="1:38" ht="12.75" customHeight="1">
      <c r="A11" s="24" t="s">
        <v>1621</v>
      </c>
      <c r="B11" s="7"/>
      <c r="C11" s="7"/>
      <c r="D11" s="7"/>
      <c r="E11" s="7"/>
      <c r="F11" s="7"/>
      <c r="G11" s="7"/>
      <c r="H11" s="7"/>
      <c r="I11" s="7"/>
      <c r="J11" s="24" t="s">
        <v>1621</v>
      </c>
      <c r="K11" s="7"/>
      <c r="L11" s="7"/>
      <c r="M11" s="7"/>
      <c r="N11" s="7"/>
      <c r="O11" s="7"/>
      <c r="P11" s="7"/>
      <c r="Q11" s="226"/>
      <c r="R11" s="7"/>
      <c r="S11" s="7" t="s">
        <v>780</v>
      </c>
      <c r="T11" s="7"/>
      <c r="U11" s="7"/>
      <c r="V11" s="7"/>
      <c r="W11" s="7"/>
      <c r="X11" s="7"/>
      <c r="Y11" s="7"/>
      <c r="Z11" s="7"/>
      <c r="AA11" s="7"/>
      <c r="AB11" s="202" t="s">
        <v>1692</v>
      </c>
      <c r="AC11" s="214"/>
      <c r="AD11" s="204"/>
      <c r="AE11" s="204"/>
      <c r="AF11" s="204"/>
      <c r="AG11" s="131"/>
      <c r="AH11" s="204"/>
      <c r="AI11" s="213"/>
      <c r="AJ11" s="204"/>
      <c r="AK11" s="204"/>
      <c r="AL11" s="206"/>
    </row>
    <row r="12" spans="1:38" ht="12.75" customHeight="1">
      <c r="A12" s="24" t="s">
        <v>1622</v>
      </c>
      <c r="B12" s="7"/>
      <c r="C12" s="7"/>
      <c r="D12" s="7"/>
      <c r="E12" s="7"/>
      <c r="F12" s="7"/>
      <c r="G12" s="7"/>
      <c r="H12" s="7"/>
      <c r="I12" s="7"/>
      <c r="J12" s="24" t="s">
        <v>1622</v>
      </c>
      <c r="K12" s="7"/>
      <c r="L12" s="7"/>
      <c r="M12" s="7"/>
      <c r="N12" s="7"/>
      <c r="O12" s="7"/>
      <c r="P12" s="7"/>
      <c r="Q12" s="226"/>
      <c r="R12" s="7"/>
      <c r="S12" s="7"/>
      <c r="T12" s="7"/>
      <c r="U12" s="7"/>
      <c r="V12" s="7"/>
      <c r="W12" s="7"/>
      <c r="X12" s="7"/>
      <c r="Y12" s="7"/>
      <c r="Z12" s="7"/>
      <c r="AA12" s="7"/>
      <c r="AB12" s="202" t="s">
        <v>1621</v>
      </c>
      <c r="AC12" s="214"/>
      <c r="AD12" s="204"/>
      <c r="AE12" s="204"/>
      <c r="AF12" s="204"/>
      <c r="AG12" s="131"/>
      <c r="AH12" s="204"/>
      <c r="AI12" s="204"/>
      <c r="AJ12" s="204"/>
      <c r="AK12" s="204"/>
      <c r="AL12" s="206"/>
    </row>
    <row r="13" spans="1:38" ht="12.75" customHeight="1">
      <c r="A13" s="24" t="s">
        <v>1623</v>
      </c>
      <c r="B13" s="7"/>
      <c r="C13" s="7"/>
      <c r="D13" s="7"/>
      <c r="E13" s="7"/>
      <c r="F13" s="7"/>
      <c r="G13" s="7"/>
      <c r="H13" s="7"/>
      <c r="I13" s="7"/>
      <c r="J13" s="24" t="s">
        <v>1623</v>
      </c>
      <c r="K13" s="7"/>
      <c r="L13" s="7"/>
      <c r="M13" s="7"/>
      <c r="N13" s="7"/>
      <c r="O13" s="7"/>
      <c r="P13" s="7"/>
      <c r="Q13" s="226"/>
      <c r="R13" s="7"/>
      <c r="S13" s="7"/>
      <c r="T13" s="7"/>
      <c r="U13" s="7"/>
      <c r="V13" s="7"/>
      <c r="W13" s="7"/>
      <c r="X13" s="7"/>
      <c r="Y13" s="7"/>
      <c r="Z13" s="7"/>
      <c r="AA13" s="7"/>
      <c r="AB13" s="202" t="s">
        <v>1622</v>
      </c>
      <c r="AC13" s="214"/>
      <c r="AD13" s="204"/>
      <c r="AE13" s="204"/>
      <c r="AF13" s="204"/>
      <c r="AG13" s="131"/>
      <c r="AH13" s="204"/>
      <c r="AI13" s="204"/>
      <c r="AJ13" s="204"/>
      <c r="AK13" s="204"/>
      <c r="AL13" s="206"/>
    </row>
    <row r="14" spans="1:38" ht="12.75" customHeight="1">
      <c r="A14" s="24"/>
      <c r="B14" s="7"/>
      <c r="C14" s="7"/>
      <c r="D14" s="7"/>
      <c r="E14" s="7"/>
      <c r="F14" s="7"/>
      <c r="G14" s="7"/>
      <c r="H14" s="7"/>
      <c r="I14" s="7"/>
      <c r="J14" s="24"/>
      <c r="K14" s="7"/>
      <c r="L14" s="7"/>
      <c r="M14" s="7"/>
      <c r="N14" s="7"/>
      <c r="O14" s="7"/>
      <c r="P14" s="7"/>
      <c r="Q14" s="226"/>
      <c r="R14" s="7"/>
      <c r="S14" s="7"/>
      <c r="T14" s="7"/>
      <c r="U14" s="7"/>
      <c r="V14" s="7"/>
      <c r="W14" s="7"/>
      <c r="X14" s="7"/>
      <c r="Y14" s="7"/>
      <c r="Z14" s="7"/>
      <c r="AA14" s="7"/>
      <c r="AB14" s="208" t="s">
        <v>1623</v>
      </c>
      <c r="AC14" s="214"/>
      <c r="AD14" s="204"/>
      <c r="AE14" s="204"/>
      <c r="AF14" s="204"/>
      <c r="AG14" s="131"/>
      <c r="AH14" s="204"/>
      <c r="AI14" s="204"/>
      <c r="AJ14" s="204"/>
      <c r="AK14" s="204"/>
      <c r="AL14" s="206"/>
    </row>
    <row r="15" spans="1:38" ht="12.75" customHeight="1">
      <c r="A15" s="24"/>
      <c r="B15" s="7"/>
      <c r="C15" s="7"/>
      <c r="D15" s="7"/>
      <c r="E15" s="7"/>
      <c r="F15" s="7"/>
      <c r="G15" s="7"/>
      <c r="H15" s="7"/>
      <c r="I15" s="7"/>
      <c r="J15" s="24"/>
      <c r="K15" s="7"/>
      <c r="L15" s="7"/>
      <c r="M15" s="7"/>
      <c r="N15" s="7"/>
      <c r="O15" s="7"/>
      <c r="P15" s="7"/>
      <c r="Q15" s="226"/>
      <c r="R15" s="7"/>
      <c r="S15" s="128" t="s">
        <v>785</v>
      </c>
      <c r="T15" s="7"/>
      <c r="U15" s="7"/>
      <c r="V15" s="7"/>
      <c r="W15" s="7"/>
      <c r="X15" s="7"/>
      <c r="Y15" s="7"/>
      <c r="Z15" s="7"/>
      <c r="AA15" s="7"/>
      <c r="AB15" s="211"/>
      <c r="AC15" s="132"/>
      <c r="AD15" s="126"/>
      <c r="AE15" s="126"/>
      <c r="AF15" s="126"/>
      <c r="AG15" s="127"/>
      <c r="AH15" s="204"/>
      <c r="AI15" s="204"/>
      <c r="AJ15" s="204"/>
      <c r="AK15" s="204"/>
      <c r="AL15" s="206"/>
    </row>
    <row r="16" spans="1:38" ht="12.75" customHeight="1">
      <c r="A16" s="24"/>
      <c r="B16" s="7"/>
      <c r="C16" s="7"/>
      <c r="D16" s="7"/>
      <c r="E16" s="7"/>
      <c r="F16" s="7"/>
      <c r="G16" s="7"/>
      <c r="H16" s="7"/>
      <c r="I16" s="7"/>
      <c r="J16" s="24"/>
      <c r="K16" s="7"/>
      <c r="L16" s="7"/>
      <c r="M16" s="7"/>
      <c r="N16" s="7"/>
      <c r="O16" s="7"/>
      <c r="P16" s="7"/>
      <c r="Q16" s="226"/>
      <c r="R16" s="7"/>
      <c r="S16" s="24" t="s">
        <v>1619</v>
      </c>
      <c r="T16" s="7"/>
      <c r="U16" s="7"/>
      <c r="V16" s="7"/>
      <c r="W16" s="7"/>
      <c r="X16" s="7"/>
      <c r="Y16" s="7"/>
      <c r="Z16" s="7"/>
      <c r="AA16" s="7"/>
      <c r="AB16" s="317"/>
      <c r="AC16" s="214"/>
      <c r="AD16" s="204"/>
      <c r="AE16" s="204"/>
      <c r="AF16" s="204"/>
      <c r="AG16" s="131"/>
      <c r="AH16" s="204"/>
      <c r="AI16" s="204"/>
      <c r="AJ16" s="204"/>
      <c r="AK16" s="204"/>
      <c r="AL16" s="206"/>
    </row>
    <row r="17" spans="1:38" ht="12.75" customHeight="1">
      <c r="A17" s="133" t="s">
        <v>786</v>
      </c>
      <c r="B17" s="7"/>
      <c r="C17" s="7"/>
      <c r="D17" s="7"/>
      <c r="E17" s="7"/>
      <c r="F17" s="7"/>
      <c r="G17" s="7"/>
      <c r="H17" s="7"/>
      <c r="I17" s="7"/>
      <c r="J17" s="133" t="s">
        <v>786</v>
      </c>
      <c r="K17" s="7"/>
      <c r="L17" s="7"/>
      <c r="M17" s="7"/>
      <c r="N17" s="7"/>
      <c r="O17" s="7"/>
      <c r="P17" s="7"/>
      <c r="Q17" s="226"/>
      <c r="R17" s="7"/>
      <c r="S17" s="24" t="s">
        <v>1620</v>
      </c>
      <c r="T17" s="7"/>
      <c r="U17" s="7"/>
      <c r="V17" s="7"/>
      <c r="W17" s="7"/>
      <c r="X17" s="7"/>
      <c r="Y17" s="7"/>
      <c r="Z17" s="7"/>
      <c r="AA17" s="7"/>
      <c r="AB17" s="210" t="s">
        <v>787</v>
      </c>
      <c r="AC17" s="129"/>
      <c r="AD17" s="129"/>
      <c r="AE17" s="129"/>
      <c r="AF17" s="129"/>
      <c r="AG17" s="130"/>
      <c r="AH17" s="215" t="s">
        <v>788</v>
      </c>
      <c r="AI17" s="204"/>
      <c r="AJ17" s="205" t="str">
        <f>VLOOKUP(AJ4,'TOTAL - LCB'!$A$18:$AE$1019,9,FALSE)</f>
        <v>HASLS22250502894</v>
      </c>
      <c r="AK17" s="204"/>
      <c r="AL17" s="206"/>
    </row>
    <row r="18" spans="1:38" ht="12.75" customHeight="1">
      <c r="A18" s="24" t="s">
        <v>1619</v>
      </c>
      <c r="B18" s="7"/>
      <c r="C18" s="7"/>
      <c r="D18" s="7"/>
      <c r="E18" s="7"/>
      <c r="F18" s="7"/>
      <c r="G18" s="7"/>
      <c r="H18" s="7"/>
      <c r="I18" s="7"/>
      <c r="J18" s="24" t="s">
        <v>1619</v>
      </c>
      <c r="K18" s="7"/>
      <c r="L18" s="7"/>
      <c r="M18" s="7"/>
      <c r="N18" s="7"/>
      <c r="O18" s="7"/>
      <c r="P18" s="7"/>
      <c r="Q18" s="226"/>
      <c r="R18" s="7"/>
      <c r="S18" s="24" t="s">
        <v>1621</v>
      </c>
      <c r="T18" s="7"/>
      <c r="U18" s="7"/>
      <c r="V18" s="7"/>
      <c r="W18" s="7"/>
      <c r="X18" s="7"/>
      <c r="Y18" s="7"/>
      <c r="Z18" s="7"/>
      <c r="AA18" s="7"/>
      <c r="AB18" s="202" t="s">
        <v>1619</v>
      </c>
      <c r="AC18" s="204"/>
      <c r="AD18" s="204"/>
      <c r="AE18" s="204"/>
      <c r="AF18" s="204"/>
      <c r="AG18" s="131"/>
      <c r="AH18" s="215"/>
      <c r="AI18" s="204"/>
      <c r="AJ18" s="204"/>
      <c r="AK18" s="204"/>
      <c r="AL18" s="206"/>
    </row>
    <row r="19" spans="1:38" ht="12.75" customHeight="1">
      <c r="A19" s="24" t="s">
        <v>1620</v>
      </c>
      <c r="B19" s="7"/>
      <c r="C19" s="7"/>
      <c r="D19" s="7"/>
      <c r="E19" s="7"/>
      <c r="F19" s="7"/>
      <c r="G19" s="7"/>
      <c r="H19" s="7"/>
      <c r="I19" s="7"/>
      <c r="J19" s="24" t="s">
        <v>1620</v>
      </c>
      <c r="K19" s="7"/>
      <c r="L19" s="7"/>
      <c r="M19" s="7"/>
      <c r="N19" s="7"/>
      <c r="O19" s="7"/>
      <c r="P19" s="7"/>
      <c r="Q19" s="226"/>
      <c r="R19" s="7"/>
      <c r="S19" s="24" t="s">
        <v>1622</v>
      </c>
      <c r="T19" s="7"/>
      <c r="U19" s="7"/>
      <c r="V19" s="7"/>
      <c r="W19" s="7"/>
      <c r="X19" s="7"/>
      <c r="Y19" s="7"/>
      <c r="Z19" s="7"/>
      <c r="AA19" s="7"/>
      <c r="AB19" s="202" t="s">
        <v>1693</v>
      </c>
      <c r="AC19" s="204"/>
      <c r="AD19" s="204"/>
      <c r="AE19" s="204"/>
      <c r="AF19" s="204"/>
      <c r="AG19" s="131"/>
      <c r="AH19" s="215"/>
      <c r="AI19" s="204"/>
      <c r="AJ19" s="204"/>
      <c r="AK19" s="204"/>
      <c r="AL19" s="206"/>
    </row>
    <row r="20" spans="1:38" ht="12.75" customHeight="1">
      <c r="A20" s="24" t="s">
        <v>1621</v>
      </c>
      <c r="B20" s="7"/>
      <c r="C20" s="7"/>
      <c r="D20" s="7"/>
      <c r="E20" s="7"/>
      <c r="F20" s="7"/>
      <c r="G20" s="7"/>
      <c r="H20" s="7"/>
      <c r="I20" s="7"/>
      <c r="J20" s="24" t="s">
        <v>1621</v>
      </c>
      <c r="K20" s="7"/>
      <c r="L20" s="7"/>
      <c r="M20" s="7"/>
      <c r="N20" s="7"/>
      <c r="O20" s="7"/>
      <c r="P20" s="7"/>
      <c r="Q20" s="226"/>
      <c r="R20" s="7"/>
      <c r="S20" s="24" t="s">
        <v>1623</v>
      </c>
      <c r="T20" s="7"/>
      <c r="U20" s="7"/>
      <c r="V20" s="7"/>
      <c r="W20" s="7"/>
      <c r="X20" s="7"/>
      <c r="Y20" s="7"/>
      <c r="Z20" s="7"/>
      <c r="AA20" s="7"/>
      <c r="AB20" s="202" t="s">
        <v>1692</v>
      </c>
      <c r="AC20" s="204"/>
      <c r="AD20" s="204"/>
      <c r="AE20" s="204"/>
      <c r="AF20" s="204"/>
      <c r="AG20" s="131"/>
      <c r="AH20" s="204"/>
      <c r="AI20" s="204"/>
      <c r="AJ20" s="204"/>
      <c r="AK20" s="204"/>
      <c r="AL20" s="206"/>
    </row>
    <row r="21" spans="1:38" ht="12.75" customHeight="1">
      <c r="A21" s="24" t="s">
        <v>1622</v>
      </c>
      <c r="B21" s="7"/>
      <c r="C21" s="7"/>
      <c r="D21" s="7"/>
      <c r="E21" s="7"/>
      <c r="F21" s="7"/>
      <c r="G21" s="7"/>
      <c r="H21" s="7"/>
      <c r="I21" s="7"/>
      <c r="J21" s="24" t="s">
        <v>1622</v>
      </c>
      <c r="K21" s="7"/>
      <c r="L21" s="7"/>
      <c r="M21" s="7"/>
      <c r="N21" s="7"/>
      <c r="O21" s="7"/>
      <c r="P21" s="7"/>
      <c r="Q21" s="226"/>
      <c r="R21" s="7"/>
      <c r="S21" s="24"/>
      <c r="T21" s="7"/>
      <c r="U21" s="7"/>
      <c r="V21" s="7"/>
      <c r="W21" s="7"/>
      <c r="X21" s="7"/>
      <c r="Y21" s="7"/>
      <c r="Z21" s="7"/>
      <c r="AA21" s="7"/>
      <c r="AB21" s="208" t="s">
        <v>1621</v>
      </c>
      <c r="AC21" s="204"/>
      <c r="AD21" s="204"/>
      <c r="AE21" s="204"/>
      <c r="AF21" s="204"/>
      <c r="AG21" s="131"/>
      <c r="AH21" s="204"/>
      <c r="AI21" s="204"/>
      <c r="AJ21" s="204"/>
      <c r="AK21" s="204"/>
      <c r="AL21" s="206"/>
    </row>
    <row r="22" spans="1:38" ht="12.75" customHeight="1">
      <c r="A22" s="24" t="s">
        <v>1623</v>
      </c>
      <c r="B22" s="7"/>
      <c r="C22" s="7"/>
      <c r="D22" s="7"/>
      <c r="E22" s="7"/>
      <c r="F22" s="7"/>
      <c r="G22" s="7"/>
      <c r="H22" s="7"/>
      <c r="I22" s="7"/>
      <c r="J22" s="24" t="s">
        <v>1623</v>
      </c>
      <c r="K22" s="7"/>
      <c r="L22" s="7"/>
      <c r="M22" s="7"/>
      <c r="N22" s="7"/>
      <c r="O22" s="7"/>
      <c r="P22" s="7"/>
      <c r="Q22" s="226"/>
      <c r="R22" s="7"/>
      <c r="S22" s="24"/>
      <c r="T22" s="7"/>
      <c r="U22" s="7"/>
      <c r="V22" s="7"/>
      <c r="W22" s="7"/>
      <c r="X22" s="7"/>
      <c r="Y22" s="7"/>
      <c r="Z22" s="7"/>
      <c r="AA22" s="7"/>
      <c r="AB22" s="202" t="s">
        <v>1622</v>
      </c>
      <c r="AC22" s="204"/>
      <c r="AD22" s="204"/>
      <c r="AE22" s="204"/>
      <c r="AF22" s="204"/>
      <c r="AG22" s="131"/>
      <c r="AH22" s="204"/>
      <c r="AI22" s="204"/>
      <c r="AJ22" s="204"/>
      <c r="AK22" s="204"/>
      <c r="AL22" s="206"/>
    </row>
    <row r="23" spans="1:38" ht="12.75" customHeight="1">
      <c r="A23" s="24"/>
      <c r="B23" s="7"/>
      <c r="C23" s="7"/>
      <c r="D23" s="7"/>
      <c r="E23" s="7"/>
      <c r="F23" s="7"/>
      <c r="G23" s="7"/>
      <c r="H23" s="7"/>
      <c r="I23" s="7"/>
      <c r="J23" s="24"/>
      <c r="K23" s="7"/>
      <c r="L23" s="7"/>
      <c r="M23" s="7"/>
      <c r="N23" s="7"/>
      <c r="O23" s="7"/>
      <c r="P23" s="7"/>
      <c r="Q23" s="226"/>
      <c r="R23" s="7"/>
      <c r="S23" s="24"/>
      <c r="T23" s="7"/>
      <c r="U23" s="7"/>
      <c r="V23" s="7"/>
      <c r="W23" s="7"/>
      <c r="X23" s="7"/>
      <c r="Y23" s="7"/>
      <c r="Z23" s="7"/>
      <c r="AA23" s="226"/>
      <c r="AB23" s="202" t="s">
        <v>1623</v>
      </c>
      <c r="AC23" s="204"/>
      <c r="AD23" s="204"/>
      <c r="AE23" s="204"/>
      <c r="AF23" s="204"/>
      <c r="AG23" s="131"/>
      <c r="AH23" s="204"/>
      <c r="AI23" s="204"/>
      <c r="AJ23" s="204"/>
      <c r="AK23" s="204"/>
      <c r="AL23" s="206"/>
    </row>
    <row r="24" spans="1:38" ht="15" customHeight="1">
      <c r="A24" s="24"/>
      <c r="B24" s="7"/>
      <c r="C24" s="7"/>
      <c r="D24" s="7"/>
      <c r="E24" s="7"/>
      <c r="F24" s="7"/>
      <c r="G24" s="7"/>
      <c r="H24" s="7"/>
      <c r="I24" s="7"/>
      <c r="J24" s="24"/>
      <c r="K24" s="7"/>
      <c r="L24" s="7"/>
      <c r="M24" s="7"/>
      <c r="N24" s="7"/>
      <c r="O24" s="7"/>
      <c r="P24" s="7"/>
      <c r="Q24" s="226"/>
      <c r="R24" s="172"/>
      <c r="S24" s="134" t="s">
        <v>789</v>
      </c>
      <c r="T24" s="825" t="s">
        <v>790</v>
      </c>
      <c r="U24" s="826"/>
      <c r="V24" s="134" t="s">
        <v>791</v>
      </c>
      <c r="W24" s="135" t="s">
        <v>792</v>
      </c>
      <c r="X24" s="827" t="s">
        <v>855</v>
      </c>
      <c r="Y24" s="826"/>
      <c r="Z24" s="134" t="s">
        <v>794</v>
      </c>
      <c r="AA24" s="194"/>
      <c r="AB24" s="236"/>
      <c r="AC24" s="126"/>
      <c r="AD24" s="126"/>
      <c r="AE24" s="126"/>
      <c r="AF24" s="126"/>
      <c r="AG24" s="127"/>
      <c r="AH24" s="204"/>
      <c r="AI24" s="204"/>
      <c r="AJ24" s="204"/>
      <c r="AK24" s="204"/>
      <c r="AL24" s="206"/>
    </row>
    <row r="25" spans="1:38" ht="15" customHeight="1">
      <c r="A25" s="24"/>
      <c r="B25" s="7"/>
      <c r="C25" s="7"/>
      <c r="D25" s="7"/>
      <c r="E25" s="7"/>
      <c r="F25" s="7"/>
      <c r="G25" s="7"/>
      <c r="H25" s="7"/>
      <c r="I25" s="194"/>
      <c r="J25" s="24"/>
      <c r="K25" s="7"/>
      <c r="L25" s="7"/>
      <c r="M25" s="7"/>
      <c r="N25" s="7"/>
      <c r="O25" s="7"/>
      <c r="P25" s="7"/>
      <c r="Q25" s="240"/>
      <c r="R25" s="235"/>
      <c r="S25" s="136"/>
      <c r="T25" s="830"/>
      <c r="U25" s="829"/>
      <c r="V25" s="136" t="str">
        <f>VLOOKUP(P8,'TOTAL - LCB'!$A$18:$AE$1019,18,FALSE)</f>
        <v>CARTONS</v>
      </c>
      <c r="W25" s="137" t="s">
        <v>795</v>
      </c>
      <c r="X25" s="828"/>
      <c r="Y25" s="829"/>
      <c r="Z25" s="358" t="s">
        <v>857</v>
      </c>
      <c r="AA25" s="6"/>
      <c r="AB25" s="237" t="s">
        <v>849</v>
      </c>
      <c r="AC25" s="129"/>
      <c r="AD25" s="129"/>
      <c r="AE25" s="138" t="s">
        <v>797</v>
      </c>
      <c r="AF25" s="129"/>
      <c r="AG25" s="130"/>
      <c r="AH25" s="204"/>
      <c r="AI25" s="204"/>
      <c r="AJ25" s="204"/>
      <c r="AK25" s="204"/>
      <c r="AL25" s="206"/>
    </row>
    <row r="26" spans="1:38" ht="15" customHeight="1">
      <c r="A26" s="134" t="s">
        <v>798</v>
      </c>
      <c r="B26" s="134" t="s">
        <v>792</v>
      </c>
      <c r="C26" s="134" t="s">
        <v>799</v>
      </c>
      <c r="D26" s="135" t="s">
        <v>800</v>
      </c>
      <c r="E26" s="134" t="s">
        <v>801</v>
      </c>
      <c r="F26" s="134" t="s">
        <v>802</v>
      </c>
      <c r="G26" s="134" t="s">
        <v>803</v>
      </c>
      <c r="H26" s="134" t="s">
        <v>794</v>
      </c>
      <c r="I26" s="6"/>
      <c r="J26" s="134" t="s">
        <v>798</v>
      </c>
      <c r="K26" s="134" t="s">
        <v>792</v>
      </c>
      <c r="L26" s="134" t="s">
        <v>799</v>
      </c>
      <c r="M26" s="135" t="s">
        <v>800</v>
      </c>
      <c r="N26" s="134" t="s">
        <v>801</v>
      </c>
      <c r="O26" s="134" t="s">
        <v>802</v>
      </c>
      <c r="P26" s="134" t="s">
        <v>803</v>
      </c>
      <c r="Q26" s="239" t="s">
        <v>794</v>
      </c>
      <c r="R26" s="6"/>
      <c r="S26" s="455" t="str">
        <f>J29</f>
        <v>FSCU5894529</v>
      </c>
      <c r="T26" s="456" t="s">
        <v>1694</v>
      </c>
      <c r="U26" s="350"/>
      <c r="V26" s="447">
        <f>VLOOKUP(Y8,'TOTAL - LCB'!$A$18:$AE$1019,17,FALSE)</f>
        <v>71</v>
      </c>
      <c r="W26" s="355">
        <f>N29</f>
        <v>887.5</v>
      </c>
      <c r="X26" s="357">
        <f>VLOOKUP(Y8,'TOTAL - LCB'!$A$18:$AE$1019,13,FALSE)</f>
        <v>129</v>
      </c>
      <c r="Y26" s="450"/>
      <c r="Z26" s="173">
        <f>W26*X26</f>
        <v>114487.5</v>
      </c>
      <c r="AA26" s="7"/>
      <c r="AB26" s="208"/>
      <c r="AC26" s="204"/>
      <c r="AD26" s="204"/>
      <c r="AE26" s="139" t="s">
        <v>804</v>
      </c>
      <c r="AF26" s="126"/>
      <c r="AG26" s="127"/>
      <c r="AH26" s="204"/>
      <c r="AI26" s="204"/>
      <c r="AJ26" s="204"/>
      <c r="AK26" s="204"/>
      <c r="AL26" s="206"/>
    </row>
    <row r="27" spans="1:38" ht="12.75" customHeight="1">
      <c r="A27" s="136"/>
      <c r="B27" s="136" t="str">
        <f>VLOOKUP(G8,'TOTAL - LCB'!$A$18:$AE$1019,18,FALSE)</f>
        <v>CARTONS</v>
      </c>
      <c r="C27" s="136"/>
      <c r="D27" s="137"/>
      <c r="E27" s="136" t="s">
        <v>805</v>
      </c>
      <c r="F27" s="136" t="s">
        <v>805</v>
      </c>
      <c r="G27" s="136" t="s">
        <v>806</v>
      </c>
      <c r="H27" s="136" t="s">
        <v>796</v>
      </c>
      <c r="I27" s="7"/>
      <c r="J27" s="136"/>
      <c r="K27" s="136" t="str">
        <f>VLOOKUP(G8,'TOTAL - LCB'!$A$18:$AE$1019,18,FALSE)</f>
        <v>CARTONS</v>
      </c>
      <c r="L27" s="136"/>
      <c r="M27" s="137"/>
      <c r="N27" s="136" t="s">
        <v>805</v>
      </c>
      <c r="O27" s="136" t="s">
        <v>805</v>
      </c>
      <c r="P27" s="136" t="s">
        <v>856</v>
      </c>
      <c r="Q27" s="136" t="s">
        <v>857</v>
      </c>
      <c r="R27" s="7"/>
      <c r="S27" s="348"/>
      <c r="T27" s="456" t="str">
        <f>M34</f>
        <v>FRESH DURIAN Grade AB</v>
      </c>
      <c r="U27" s="354"/>
      <c r="V27" s="360">
        <f>SUM(K34)</f>
        <v>504</v>
      </c>
      <c r="W27" s="173">
        <f>SUM(N34)</f>
        <v>9072</v>
      </c>
      <c r="X27" s="451">
        <f>P34</f>
        <v>129</v>
      </c>
      <c r="Y27" s="452"/>
      <c r="Z27" s="173">
        <f>W27*X27</f>
        <v>1170288</v>
      </c>
      <c r="AA27" s="28"/>
      <c r="AB27" s="210" t="s">
        <v>807</v>
      </c>
      <c r="AC27" s="129"/>
      <c r="AD27" s="129"/>
      <c r="AE27" s="138" t="s">
        <v>808</v>
      </c>
      <c r="AF27" s="129"/>
      <c r="AG27" s="130"/>
      <c r="AH27" s="204"/>
      <c r="AI27" s="204"/>
      <c r="AJ27" s="204"/>
      <c r="AK27" s="204"/>
      <c r="AL27" s="206"/>
    </row>
    <row r="28" spans="1:38" ht="12.75" customHeight="1">
      <c r="A28" s="140"/>
      <c r="B28" s="140"/>
      <c r="C28" s="140"/>
      <c r="D28" s="141"/>
      <c r="E28" s="142"/>
      <c r="F28" s="142"/>
      <c r="G28" s="143"/>
      <c r="H28" s="140"/>
      <c r="I28" s="28"/>
      <c r="J28" s="140"/>
      <c r="K28" s="140"/>
      <c r="L28" s="140"/>
      <c r="M28" s="141"/>
      <c r="N28" s="142"/>
      <c r="O28" s="142"/>
      <c r="P28" s="143"/>
      <c r="Q28" s="140"/>
      <c r="R28" s="28"/>
      <c r="S28" s="348"/>
      <c r="T28" s="456" t="str">
        <f>M38</f>
        <v>FRESH DURIAN Grade CD</v>
      </c>
      <c r="U28" s="354"/>
      <c r="V28" s="360">
        <f>SUM(K38)</f>
        <v>397</v>
      </c>
      <c r="W28" s="173">
        <f>SUM(N38)</f>
        <v>6669.6</v>
      </c>
      <c r="X28" s="451">
        <f>P38</f>
        <v>98.4</v>
      </c>
      <c r="Y28" s="452"/>
      <c r="Z28" s="173">
        <f>W28*X28</f>
        <v>656288.64000000013</v>
      </c>
      <c r="AA28" s="144"/>
      <c r="AB28" s="216" t="str">
        <f>VLOOKUP(AJ4,'TOTAL - LCB'!$A$18:$AE$1019,31,FALSE)</f>
        <v>KMTC JAKARTA 2506N</v>
      </c>
      <c r="AC28" s="204"/>
      <c r="AD28" s="204"/>
      <c r="AE28" s="139" t="s">
        <v>804</v>
      </c>
      <c r="AF28" s="204"/>
      <c r="AG28" s="131"/>
      <c r="AH28" s="215"/>
      <c r="AI28" s="204"/>
      <c r="AJ28" s="204"/>
      <c r="AK28" s="204"/>
      <c r="AL28" s="206"/>
    </row>
    <row r="29" spans="1:38" ht="12.75" customHeight="1">
      <c r="A29" s="145" t="str">
        <f>VLOOKUP(G8,'TOTAL - LCB'!$A$18:$AE$1019,7,FALSE)</f>
        <v>FSCU5894529</v>
      </c>
      <c r="B29" s="146">
        <f>VLOOKUP(G8,'TOTAL - LCB'!$A$18:$AE$1019,17,FALSE)</f>
        <v>71</v>
      </c>
      <c r="C29" s="145" t="str">
        <f>VLOOKUP(G8,'TOTAL - LCB'!$A$18:$AE$1019,18,FALSE)</f>
        <v>CARTONS</v>
      </c>
      <c r="D29" s="145" t="s">
        <v>1694</v>
      </c>
      <c r="E29" s="148">
        <f>B29*E32</f>
        <v>887.5</v>
      </c>
      <c r="F29" s="148">
        <f>B29*F32</f>
        <v>994</v>
      </c>
      <c r="G29" s="149">
        <f>VLOOKUP(G8,'TOTAL - LCB'!$A$18:$AE$1019,14,FALSE)</f>
        <v>3.72</v>
      </c>
      <c r="H29" s="148">
        <f>E29*G29</f>
        <v>3301.5</v>
      </c>
      <c r="I29" s="144"/>
      <c r="J29" s="145" t="str">
        <f>VLOOKUP(P8,'TOTAL - LCB'!$A$18:$AE$1019,7,FALSE)</f>
        <v>FSCU5894529</v>
      </c>
      <c r="K29" s="146">
        <f>VLOOKUP(P8,'TOTAL - LCB'!$A$18:$AE$1019,17,FALSE)</f>
        <v>71</v>
      </c>
      <c r="L29" s="145" t="str">
        <f>VLOOKUP(P8,'TOTAL - LCB'!$A$18:$AE$1019,18,FALSE)</f>
        <v>CARTONS</v>
      </c>
      <c r="M29" s="145" t="s">
        <v>1694</v>
      </c>
      <c r="N29" s="148">
        <f>K29*N32</f>
        <v>887.5</v>
      </c>
      <c r="O29" s="148">
        <f>K29*O32</f>
        <v>994</v>
      </c>
      <c r="P29" s="149">
        <f>VLOOKUP(P8,'TOTAL - LCB'!$A$18:$AE$1019,13,FALSE)</f>
        <v>129</v>
      </c>
      <c r="Q29" s="148">
        <f>N29*P29</f>
        <v>114487.5</v>
      </c>
      <c r="R29" s="144"/>
      <c r="S29" s="348"/>
      <c r="T29" s="353"/>
      <c r="U29" s="354"/>
      <c r="V29" s="360"/>
      <c r="W29" s="173"/>
      <c r="X29" s="451"/>
      <c r="Y29" s="452"/>
      <c r="Z29" s="173"/>
      <c r="AA29" s="150"/>
      <c r="AB29" s="210" t="s">
        <v>809</v>
      </c>
      <c r="AC29" s="129"/>
      <c r="AD29" s="130"/>
      <c r="AE29" s="138" t="s">
        <v>810</v>
      </c>
      <c r="AF29" s="129"/>
      <c r="AG29" s="129"/>
      <c r="AH29" s="151" t="s">
        <v>811</v>
      </c>
      <c r="AI29" s="151"/>
      <c r="AJ29" s="152"/>
      <c r="AK29" s="151" t="s">
        <v>812</v>
      </c>
      <c r="AL29" s="217"/>
    </row>
    <row r="30" spans="1:38" ht="12.75" customHeight="1">
      <c r="A30" s="140"/>
      <c r="B30" s="140"/>
      <c r="C30" s="140"/>
      <c r="D30" s="141"/>
      <c r="E30" s="148"/>
      <c r="F30" s="148"/>
      <c r="G30" s="140"/>
      <c r="H30" s="153"/>
      <c r="I30" s="150"/>
      <c r="J30" s="140"/>
      <c r="K30" s="140"/>
      <c r="L30" s="140"/>
      <c r="M30" s="141"/>
      <c r="N30" s="148"/>
      <c r="O30" s="148"/>
      <c r="P30" s="140"/>
      <c r="Q30" s="153"/>
      <c r="R30" s="150"/>
      <c r="S30" s="348"/>
      <c r="T30" s="353"/>
      <c r="U30" s="354"/>
      <c r="V30" s="360"/>
      <c r="W30" s="173"/>
      <c r="X30" s="451"/>
      <c r="Y30" s="452"/>
      <c r="Z30" s="173"/>
      <c r="AA30" s="7"/>
      <c r="AB30" s="218" t="str">
        <f>VLOOKUP(AJ4,'TOTAL - LCB'!$A$18:$AE$1019,30,FALSE)</f>
        <v>NANSHA</v>
      </c>
      <c r="AC30" s="126" t="s">
        <v>813</v>
      </c>
      <c r="AD30" s="238"/>
      <c r="AE30" s="126" t="str">
        <f>VLOOKUP(AJ4,'TOTAL - LCB'!$A$18:$AE$1019,30,FALSE)</f>
        <v>NANSHA</v>
      </c>
      <c r="AF30" s="126" t="s">
        <v>813</v>
      </c>
      <c r="AG30" s="126"/>
      <c r="AH30" s="126"/>
      <c r="AI30" s="126"/>
      <c r="AJ30" s="127"/>
      <c r="AK30" s="126"/>
      <c r="AL30" s="219"/>
    </row>
    <row r="31" spans="1:38" ht="12.75" customHeight="1">
      <c r="A31" s="140"/>
      <c r="B31" s="146"/>
      <c r="C31" s="145"/>
      <c r="D31" s="147"/>
      <c r="E31" s="175" t="s">
        <v>871</v>
      </c>
      <c r="F31" s="564" t="str">
        <f>VLOOKUP(G8,'TOTAL - LCB'!$A$18:$AE$1019,18,FALSE)</f>
        <v>CARTONS</v>
      </c>
      <c r="G31" s="149"/>
      <c r="H31" s="146"/>
      <c r="I31" s="7"/>
      <c r="J31" s="140"/>
      <c r="K31" s="146"/>
      <c r="L31" s="145"/>
      <c r="M31" s="147"/>
      <c r="N31" s="175" t="s">
        <v>871</v>
      </c>
      <c r="O31" s="197" t="str">
        <f>VLOOKUP(P8,'TOTAL - LCB'!$A$18:$AE$1019,18,FALSE)</f>
        <v>CARTONS</v>
      </c>
      <c r="P31" s="149"/>
      <c r="Q31" s="146"/>
      <c r="R31" s="7"/>
      <c r="S31" s="348"/>
      <c r="T31" s="353"/>
      <c r="U31" s="354"/>
      <c r="V31" s="360"/>
      <c r="W31" s="173"/>
      <c r="X31" s="451"/>
      <c r="Y31" s="452"/>
      <c r="Z31" s="173"/>
      <c r="AA31" s="7"/>
      <c r="AB31" s="216" t="s">
        <v>814</v>
      </c>
      <c r="AC31" s="204"/>
      <c r="AD31" s="204"/>
      <c r="AE31" s="154" t="s">
        <v>815</v>
      </c>
      <c r="AF31" s="204"/>
      <c r="AG31" s="204"/>
      <c r="AH31" s="215" t="s">
        <v>816</v>
      </c>
      <c r="AI31" s="215"/>
      <c r="AJ31" s="215"/>
      <c r="AK31" s="154" t="s">
        <v>817</v>
      </c>
      <c r="AL31" s="220"/>
    </row>
    <row r="32" spans="1:38" ht="12.75" customHeight="1">
      <c r="A32" s="140"/>
      <c r="B32" s="140"/>
      <c r="C32" s="140"/>
      <c r="D32" s="141"/>
      <c r="E32" s="148">
        <f>VLOOKUP(G8,'TOTAL - LCB'!$A$18:$AE$1019,16,FALSE)</f>
        <v>12.5</v>
      </c>
      <c r="F32" s="148">
        <f>VLOOKUP(G8,'TOTAL - LCB'!$A$18:$AE$1019,15,FALSE)</f>
        <v>14</v>
      </c>
      <c r="G32" s="140"/>
      <c r="H32" s="140"/>
      <c r="I32" s="7"/>
      <c r="J32" s="140"/>
      <c r="K32" s="140"/>
      <c r="L32" s="140"/>
      <c r="M32" s="141"/>
      <c r="N32" s="148">
        <f>VLOOKUP(P8,'TOTAL - LCB'!$A$18:$AE$1019,16,FALSE)</f>
        <v>12.5</v>
      </c>
      <c r="O32" s="148">
        <f>VLOOKUP(P8,'TOTAL - LCB'!$A$18:$AE$1019,15,FALSE)</f>
        <v>14</v>
      </c>
      <c r="P32" s="140"/>
      <c r="Q32" s="140"/>
      <c r="R32" s="7"/>
      <c r="S32" s="348"/>
      <c r="T32" s="353"/>
      <c r="U32" s="354"/>
      <c r="V32" s="360"/>
      <c r="W32" s="173"/>
      <c r="X32" s="451"/>
      <c r="Y32" s="452"/>
      <c r="Z32" s="173"/>
      <c r="AA32" s="7"/>
      <c r="AB32" s="208"/>
      <c r="AC32" s="221"/>
      <c r="AD32" s="204"/>
      <c r="AE32" s="204" t="s">
        <v>818</v>
      </c>
      <c r="AF32" s="215"/>
      <c r="AG32" s="204"/>
      <c r="AH32" s="204" t="s">
        <v>819</v>
      </c>
      <c r="AI32" s="221"/>
      <c r="AJ32" s="221"/>
      <c r="AK32" s="222">
        <f>SUM(O43)</f>
        <v>18537.599999999999</v>
      </c>
      <c r="AL32" s="206" t="s">
        <v>820</v>
      </c>
    </row>
    <row r="33" spans="1:38" ht="12.75" customHeight="1">
      <c r="A33" s="145"/>
      <c r="B33" s="146"/>
      <c r="C33" s="145"/>
      <c r="D33" s="145"/>
      <c r="E33" s="148"/>
      <c r="F33" s="148"/>
      <c r="G33" s="149"/>
      <c r="H33" s="148"/>
      <c r="I33" s="7"/>
      <c r="J33" s="140"/>
      <c r="K33" s="140"/>
      <c r="L33" s="140"/>
      <c r="M33" s="141"/>
      <c r="N33" s="140"/>
      <c r="O33" s="140"/>
      <c r="P33" s="140"/>
      <c r="Q33" s="140"/>
      <c r="R33" s="7"/>
      <c r="S33" s="348"/>
      <c r="T33" s="353"/>
      <c r="U33" s="354"/>
      <c r="V33" s="360"/>
      <c r="W33" s="173"/>
      <c r="X33" s="451"/>
      <c r="Y33" s="452"/>
      <c r="Z33" s="173"/>
      <c r="AA33" s="7"/>
      <c r="AB33" s="208" t="str">
        <f>VLOOKUP(AJ4,'TOTAL - LCB'!$A$18:$AE$1019,10,FALSE)</f>
        <v>FSCU5894529</v>
      </c>
      <c r="AC33" s="204"/>
      <c r="AD33" s="204"/>
      <c r="AE33" s="204"/>
      <c r="AF33" s="204"/>
      <c r="AG33" s="204"/>
      <c r="AH33" s="204" t="s">
        <v>821</v>
      </c>
      <c r="AI33" s="221"/>
      <c r="AJ33" s="221"/>
      <c r="AK33" s="221"/>
      <c r="AL33" s="206"/>
    </row>
    <row r="34" spans="1:38" ht="12.75" customHeight="1">
      <c r="A34" s="140"/>
      <c r="B34" s="146">
        <v>504</v>
      </c>
      <c r="C34" s="145" t="s">
        <v>76</v>
      </c>
      <c r="D34" s="145" t="s">
        <v>1694</v>
      </c>
      <c r="E34" s="148">
        <f>SUM(B34*E36)</f>
        <v>9072</v>
      </c>
      <c r="F34" s="148">
        <f>SUM(B34*F36)</f>
        <v>10080</v>
      </c>
      <c r="G34" s="149">
        <v>3.72</v>
      </c>
      <c r="H34" s="153">
        <f>SUM(E34*G34)</f>
        <v>33747.840000000004</v>
      </c>
      <c r="I34" s="7"/>
      <c r="J34" s="140"/>
      <c r="K34" s="146">
        <f>B34</f>
        <v>504</v>
      </c>
      <c r="L34" s="145" t="str">
        <f>C34</f>
        <v>CARTONS</v>
      </c>
      <c r="M34" s="145" t="str">
        <f>D34</f>
        <v>FRESH DURIAN Grade AB</v>
      </c>
      <c r="N34" s="148">
        <f>SUM(K34*N36)</f>
        <v>9072</v>
      </c>
      <c r="O34" s="148">
        <f>SUM(K34*O36)</f>
        <v>10080</v>
      </c>
      <c r="P34" s="149">
        <v>129</v>
      </c>
      <c r="Q34" s="153">
        <f>SUM(N34*P34)</f>
        <v>1170288</v>
      </c>
      <c r="R34" s="7"/>
      <c r="S34" s="348"/>
      <c r="T34" s="353"/>
      <c r="U34" s="354"/>
      <c r="V34" s="360"/>
      <c r="W34" s="173"/>
      <c r="X34" s="451"/>
      <c r="Y34" s="452"/>
      <c r="Z34" s="173"/>
      <c r="AA34" s="7"/>
      <c r="AB34" s="208" t="s">
        <v>822</v>
      </c>
      <c r="AC34" s="204" t="str">
        <f>VLOOKUP(AJ4,'TOTAL - LCB'!$A$18:$AE$1019,11,FALSE)</f>
        <v>HAL497033</v>
      </c>
      <c r="AD34" s="204"/>
      <c r="AE34" s="221"/>
      <c r="AF34" s="204"/>
      <c r="AG34" s="204"/>
      <c r="AH34" s="204" t="s">
        <v>823</v>
      </c>
      <c r="AI34" s="221"/>
      <c r="AJ34" s="221"/>
      <c r="AK34" s="221"/>
      <c r="AL34" s="206"/>
    </row>
    <row r="35" spans="1:38" ht="12.75" customHeight="1">
      <c r="A35" s="140"/>
      <c r="B35" s="146"/>
      <c r="C35" s="145"/>
      <c r="D35" s="147"/>
      <c r="E35" s="175" t="s">
        <v>871</v>
      </c>
      <c r="F35" s="175" t="s">
        <v>76</v>
      </c>
      <c r="G35" s="149"/>
      <c r="H35" s="146"/>
      <c r="I35" s="7"/>
      <c r="J35" s="140"/>
      <c r="K35" s="146"/>
      <c r="L35" s="145"/>
      <c r="M35" s="147"/>
      <c r="N35" s="175" t="s">
        <v>871</v>
      </c>
      <c r="O35" s="565" t="str">
        <f>F35</f>
        <v>CARTONS</v>
      </c>
      <c r="P35" s="149"/>
      <c r="Q35" s="146"/>
      <c r="R35" s="7"/>
      <c r="S35" s="349"/>
      <c r="T35" s="351"/>
      <c r="U35" s="352"/>
      <c r="V35" s="449"/>
      <c r="W35" s="312"/>
      <c r="X35" s="453"/>
      <c r="Y35" s="454"/>
      <c r="Z35" s="312"/>
      <c r="AA35" s="7"/>
      <c r="AB35" s="208"/>
      <c r="AC35" s="221"/>
      <c r="AD35" s="204"/>
      <c r="AE35" s="221"/>
      <c r="AF35" s="204"/>
      <c r="AG35" s="204"/>
      <c r="AH35" s="204"/>
      <c r="AI35" s="221"/>
      <c r="AJ35" s="204"/>
      <c r="AK35" s="221"/>
      <c r="AL35" s="206"/>
    </row>
    <row r="36" spans="1:38" ht="12.75" customHeight="1">
      <c r="A36" s="140"/>
      <c r="B36" s="140"/>
      <c r="C36" s="140"/>
      <c r="D36" s="141"/>
      <c r="E36" s="148">
        <v>18</v>
      </c>
      <c r="F36" s="148">
        <v>20</v>
      </c>
      <c r="G36" s="140"/>
      <c r="H36" s="140"/>
      <c r="I36" s="7"/>
      <c r="J36" s="140"/>
      <c r="K36" s="140"/>
      <c r="L36" s="140"/>
      <c r="M36" s="141"/>
      <c r="N36" s="148">
        <f>E36</f>
        <v>18</v>
      </c>
      <c r="O36" s="148">
        <f>F36</f>
        <v>20</v>
      </c>
      <c r="P36" s="140"/>
      <c r="Q36" s="140"/>
      <c r="R36" s="7"/>
      <c r="S36" s="819" t="s">
        <v>824</v>
      </c>
      <c r="T36" s="820"/>
      <c r="U36" s="821"/>
      <c r="V36" s="155">
        <f>SUM(V26:V35)</f>
        <v>972</v>
      </c>
      <c r="W36" s="156">
        <f>SUM(W26:W35)</f>
        <v>16629.099999999999</v>
      </c>
      <c r="X36" s="822"/>
      <c r="Y36" s="821"/>
      <c r="Z36" s="156">
        <f>SUM(Z26:Z35)</f>
        <v>1941064.1400000001</v>
      </c>
      <c r="AA36" s="157"/>
      <c r="AB36" s="223"/>
      <c r="AC36" s="204"/>
      <c r="AD36" s="204"/>
      <c r="AE36" s="221"/>
      <c r="AF36" s="204"/>
      <c r="AG36" s="204"/>
      <c r="AH36" s="204" t="str">
        <f>VLOOKUP(AJ4,'TOTAL - LCB'!$A$18:$AE$1019,8,FALSE)</f>
        <v>FRESH DURIAN</v>
      </c>
      <c r="AI36" s="221"/>
      <c r="AJ36" s="221"/>
      <c r="AK36" s="221"/>
      <c r="AL36" s="224"/>
    </row>
    <row r="37" spans="1:38" ht="12.75" customHeight="1">
      <c r="A37" s="140"/>
      <c r="B37" s="140"/>
      <c r="C37" s="140"/>
      <c r="D37" s="141"/>
      <c r="E37" s="148"/>
      <c r="F37" s="148"/>
      <c r="G37" s="140"/>
      <c r="H37" s="140"/>
      <c r="I37" s="7"/>
      <c r="J37" s="140"/>
      <c r="K37" s="140"/>
      <c r="L37" s="140"/>
      <c r="M37" s="141"/>
      <c r="N37" s="148"/>
      <c r="O37" s="148"/>
      <c r="P37" s="140"/>
      <c r="Q37" s="140"/>
      <c r="R37" s="28"/>
      <c r="S37" s="7"/>
      <c r="T37" s="7"/>
      <c r="U37" s="7"/>
      <c r="V37" s="7"/>
      <c r="W37" s="7"/>
      <c r="X37" s="7"/>
      <c r="Y37" s="7"/>
      <c r="Z37" s="7"/>
      <c r="AA37" s="7"/>
      <c r="AB37" s="216" t="s">
        <v>825</v>
      </c>
      <c r="AC37" s="221"/>
      <c r="AD37" s="204"/>
      <c r="AE37" s="221"/>
      <c r="AF37" s="204"/>
      <c r="AG37" s="204"/>
      <c r="AH37" s="225">
        <f>VLOOKUP(AJ4,'TOTAL - LCB'!$A$18:$AE$1019,17,FALSE)</f>
        <v>71</v>
      </c>
      <c r="AI37" s="204" t="str">
        <f>VLOOKUP(AJ4,'TOTAL - LCB'!$A$18:$AE$1019,18,FALSE)</f>
        <v>CARTONS</v>
      </c>
      <c r="AJ37" s="204"/>
      <c r="AK37" s="204"/>
      <c r="AL37" s="206"/>
    </row>
    <row r="38" spans="1:38" ht="12.75" customHeight="1">
      <c r="A38" s="140"/>
      <c r="B38" s="146">
        <v>397</v>
      </c>
      <c r="C38" s="145" t="s">
        <v>76</v>
      </c>
      <c r="D38" s="145" t="s">
        <v>1695</v>
      </c>
      <c r="E38" s="148">
        <f>SUM(B38*E40)</f>
        <v>6669.6</v>
      </c>
      <c r="F38" s="148">
        <f>SUM(B38*F40)</f>
        <v>7463.6</v>
      </c>
      <c r="G38" s="149">
        <v>2.8</v>
      </c>
      <c r="H38" s="153">
        <f>SUM(E38*G38)</f>
        <v>18674.88</v>
      </c>
      <c r="I38" s="7"/>
      <c r="J38" s="140"/>
      <c r="K38" s="146">
        <f>B38</f>
        <v>397</v>
      </c>
      <c r="L38" s="145" t="str">
        <f>C38</f>
        <v>CARTONS</v>
      </c>
      <c r="M38" s="145" t="str">
        <f>D38</f>
        <v>FRESH DURIAN Grade CD</v>
      </c>
      <c r="N38" s="148">
        <f>SUM(K38*N40)</f>
        <v>6669.6</v>
      </c>
      <c r="O38" s="148">
        <f>SUM(K38*O40)</f>
        <v>7463.6</v>
      </c>
      <c r="P38" s="149">
        <v>98.4</v>
      </c>
      <c r="Q38" s="153">
        <f>SUM(N38*P38)</f>
        <v>656288.64000000013</v>
      </c>
      <c r="R38" s="7"/>
      <c r="S38" s="7" t="s">
        <v>826</v>
      </c>
      <c r="T38" s="7"/>
      <c r="U38" s="7"/>
      <c r="V38" s="32"/>
      <c r="W38" s="7"/>
      <c r="X38" s="7"/>
      <c r="Y38" s="7"/>
      <c r="Z38" s="7"/>
      <c r="AA38" s="7"/>
      <c r="AB38" s="208"/>
      <c r="AC38" s="204"/>
      <c r="AD38" s="204"/>
      <c r="AE38" s="221"/>
      <c r="AF38" s="204"/>
      <c r="AG38" s="204"/>
      <c r="AH38" s="458">
        <f>SUM(B34)</f>
        <v>504</v>
      </c>
      <c r="AI38" s="459" t="s">
        <v>135</v>
      </c>
      <c r="AJ38" s="204"/>
      <c r="AK38" s="204"/>
      <c r="AL38" s="206"/>
    </row>
    <row r="39" spans="1:38" ht="12.75" customHeight="1">
      <c r="A39" s="140"/>
      <c r="B39" s="146"/>
      <c r="C39" s="145"/>
      <c r="D39" s="147"/>
      <c r="E39" s="175" t="s">
        <v>871</v>
      </c>
      <c r="F39" s="175" t="s">
        <v>76</v>
      </c>
      <c r="G39" s="149"/>
      <c r="H39" s="146"/>
      <c r="I39" s="7"/>
      <c r="J39" s="140"/>
      <c r="K39" s="146"/>
      <c r="L39" s="145"/>
      <c r="M39" s="147"/>
      <c r="N39" s="175" t="s">
        <v>871</v>
      </c>
      <c r="O39" s="565" t="str">
        <f>F39</f>
        <v>CARTONS</v>
      </c>
      <c r="P39" s="149"/>
      <c r="Q39" s="146"/>
      <c r="R39" s="7"/>
      <c r="S39" s="7" t="s">
        <v>827</v>
      </c>
      <c r="T39" s="7"/>
      <c r="U39" s="7" t="str">
        <f>VLOOKUP(Y8,'TOTAL - LCB'!$A$18:$AE$1019,31,FALSE)</f>
        <v>KMTC JAKARTA 2506N</v>
      </c>
      <c r="V39" s="7"/>
      <c r="W39" s="7"/>
      <c r="X39" s="7"/>
      <c r="Y39" s="7"/>
      <c r="Z39" s="7"/>
      <c r="AA39" s="7"/>
      <c r="AB39" s="208" t="str">
        <f>VLOOKUP(AJ4,'TOTAL - LCB'!$A$18:$AE$183,7,FALSE)</f>
        <v>FSCU5894529</v>
      </c>
      <c r="AC39" s="221"/>
      <c r="AD39" s="204"/>
      <c r="AE39" s="221"/>
      <c r="AF39" s="204"/>
      <c r="AG39" s="204"/>
      <c r="AH39" s="204"/>
      <c r="AI39" s="204"/>
      <c r="AJ39" s="204"/>
      <c r="AK39" s="204"/>
      <c r="AL39" s="206"/>
    </row>
    <row r="40" spans="1:38" ht="12.75" customHeight="1">
      <c r="A40" s="140"/>
      <c r="B40" s="140"/>
      <c r="C40" s="140"/>
      <c r="D40" s="141"/>
      <c r="E40" s="148">
        <v>16.8</v>
      </c>
      <c r="F40" s="148">
        <v>18.8</v>
      </c>
      <c r="G40" s="140"/>
      <c r="H40" s="140"/>
      <c r="I40" s="7"/>
      <c r="J40" s="140"/>
      <c r="K40" s="140"/>
      <c r="L40" s="140"/>
      <c r="M40" s="141"/>
      <c r="N40" s="148">
        <f>E40</f>
        <v>16.8</v>
      </c>
      <c r="O40" s="148">
        <f>F40</f>
        <v>18.8</v>
      </c>
      <c r="P40" s="140"/>
      <c r="Q40" s="140"/>
      <c r="R40" s="7"/>
      <c r="S40" s="123" t="s">
        <v>1650</v>
      </c>
      <c r="T40" s="7"/>
      <c r="U40" s="7" t="str">
        <f>VLOOKUP(Y8,'TOTAL - LCB'!$A$18:$AE$1019,30,FALSE)</f>
        <v>NANSHA</v>
      </c>
      <c r="V40" s="32"/>
      <c r="W40" s="7"/>
      <c r="X40" s="7"/>
      <c r="Y40" s="7"/>
      <c r="Z40" s="7"/>
      <c r="AA40" s="7"/>
      <c r="AB40" s="208"/>
      <c r="AC40" s="221"/>
      <c r="AD40" s="204"/>
      <c r="AE40" s="221"/>
      <c r="AF40" s="204"/>
      <c r="AG40" s="204"/>
      <c r="AH40" s="204" t="s">
        <v>829</v>
      </c>
      <c r="AI40" s="195">
        <f>VLOOKUP(AJ4,'TOTAL - LCB'!$A$18:$AE$1019,19,FALSE)</f>
        <v>13</v>
      </c>
      <c r="AJ40" s="226" t="s">
        <v>830</v>
      </c>
      <c r="AK40" s="204"/>
      <c r="AL40" s="206"/>
    </row>
    <row r="41" spans="1:38" ht="12.75" customHeight="1">
      <c r="A41" s="140"/>
      <c r="B41" s="140"/>
      <c r="C41" s="140"/>
      <c r="D41" s="141"/>
      <c r="E41" s="148"/>
      <c r="F41" s="148"/>
      <c r="G41" s="140"/>
      <c r="H41" s="140"/>
      <c r="I41" s="7"/>
      <c r="J41" s="140"/>
      <c r="K41" s="140"/>
      <c r="L41" s="140"/>
      <c r="M41" s="141"/>
      <c r="N41" s="148"/>
      <c r="O41" s="148"/>
      <c r="P41" s="140"/>
      <c r="Q41" s="140"/>
      <c r="R41" s="7"/>
      <c r="S41" s="32" t="s">
        <v>832</v>
      </c>
      <c r="T41" s="7"/>
      <c r="U41" s="7"/>
      <c r="V41" s="7" t="str">
        <f>VLOOKUP(Y8,'TOTAL - LCB'!$A$18:$AE$1019,30,FALSE)</f>
        <v>NANSHA</v>
      </c>
      <c r="W41" s="7"/>
      <c r="X41" s="7"/>
      <c r="Y41" s="7"/>
      <c r="Z41" s="7"/>
      <c r="AA41" s="7"/>
      <c r="AB41" s="208"/>
      <c r="AC41" s="457"/>
      <c r="AD41" s="204"/>
      <c r="AE41" s="221"/>
      <c r="AF41" s="204"/>
      <c r="AG41" s="221"/>
      <c r="AH41" s="204" t="s">
        <v>833</v>
      </c>
      <c r="AI41" s="227" t="str">
        <f>VLOOKUP(AJ4,'TOTAL - LCB'!$A$18:$AE$1019,20,FALSE)</f>
        <v>30%</v>
      </c>
      <c r="AJ41" s="204"/>
      <c r="AK41" s="204"/>
      <c r="AL41" s="206"/>
    </row>
    <row r="42" spans="1:38" ht="12.75" customHeight="1">
      <c r="A42" s="140"/>
      <c r="B42" s="140"/>
      <c r="C42" s="140"/>
      <c r="D42" s="141"/>
      <c r="E42" s="140"/>
      <c r="F42" s="140"/>
      <c r="G42" s="140"/>
      <c r="H42" s="140"/>
      <c r="I42" s="28"/>
      <c r="J42" s="140"/>
      <c r="K42" s="140"/>
      <c r="L42" s="140"/>
      <c r="M42" s="141"/>
      <c r="N42" s="140"/>
      <c r="O42" s="140"/>
      <c r="P42" s="140"/>
      <c r="Q42" s="140"/>
      <c r="R42" s="7"/>
      <c r="S42" s="7" t="s">
        <v>835</v>
      </c>
      <c r="T42" s="7"/>
      <c r="U42" s="7" t="str">
        <f>VLOOKUP(Y8,'TOTAL - LCB'!$A$18:$AE$1019,10,FALSE)</f>
        <v>FSCU5894529</v>
      </c>
      <c r="V42" s="7"/>
      <c r="W42" s="7"/>
      <c r="X42" s="7"/>
      <c r="Y42" s="7"/>
      <c r="Z42" s="7"/>
      <c r="AA42" s="7"/>
      <c r="AB42" s="208"/>
      <c r="AC42" s="221"/>
      <c r="AD42" s="204"/>
      <c r="AE42" s="221"/>
      <c r="AF42" s="204"/>
      <c r="AG42" s="221"/>
      <c r="AH42" s="204"/>
      <c r="AI42" s="221"/>
      <c r="AJ42" s="204"/>
      <c r="AK42" s="204"/>
      <c r="AL42" s="206"/>
    </row>
    <row r="43" spans="1:38" ht="12.75" customHeight="1">
      <c r="A43" s="158" t="s">
        <v>824</v>
      </c>
      <c r="B43" s="159">
        <f>SUM(B28:B42)</f>
        <v>972</v>
      </c>
      <c r="C43" s="160" t="str">
        <f t="shared" ref="C43" si="0">C29</f>
        <v>CARTONS</v>
      </c>
      <c r="D43" s="161"/>
      <c r="E43" s="156">
        <f>SUM(E29,E34,E38)</f>
        <v>16629.099999999999</v>
      </c>
      <c r="F43" s="156">
        <f>SUM(F29,F34,F38)</f>
        <v>18537.599999999999</v>
      </c>
      <c r="G43" s="160"/>
      <c r="H43" s="156">
        <f>SUM(H28:H42)</f>
        <v>55724.22</v>
      </c>
      <c r="I43" s="7"/>
      <c r="J43" s="158" t="s">
        <v>824</v>
      </c>
      <c r="K43" s="159">
        <f>SUM(K28:K42)</f>
        <v>972</v>
      </c>
      <c r="L43" s="160" t="str">
        <f t="shared" ref="L43" si="1">L29</f>
        <v>CARTONS</v>
      </c>
      <c r="M43" s="161"/>
      <c r="N43" s="156">
        <f>SUM(N29,N34,N38)</f>
        <v>16629.099999999999</v>
      </c>
      <c r="O43" s="156">
        <f>SUM(O29,O34,O38)</f>
        <v>18537.599999999999</v>
      </c>
      <c r="P43" s="160"/>
      <c r="Q43" s="156">
        <f>SUM(Q28:Q42)</f>
        <v>1941064.1400000001</v>
      </c>
      <c r="R43" s="7"/>
      <c r="S43" s="7"/>
      <c r="T43" s="7"/>
      <c r="U43" s="162"/>
      <c r="V43" s="7"/>
      <c r="W43" s="7"/>
      <c r="X43" s="7"/>
      <c r="Y43" s="7"/>
      <c r="Z43" s="7"/>
      <c r="AA43" s="7"/>
      <c r="AB43" s="208"/>
      <c r="AC43" s="221"/>
      <c r="AD43" s="204"/>
      <c r="AE43" s="221"/>
      <c r="AF43" s="204"/>
      <c r="AG43" s="221"/>
      <c r="AH43" s="204"/>
      <c r="AI43" s="221"/>
      <c r="AJ43" s="204"/>
      <c r="AK43" s="204"/>
      <c r="AL43" s="206"/>
    </row>
    <row r="44" spans="1:38" ht="12.75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 t="s">
        <v>824</v>
      </c>
      <c r="T44" s="7"/>
      <c r="U44" s="42">
        <f>SUM(V36)</f>
        <v>972</v>
      </c>
      <c r="V44" s="7" t="str">
        <f>VLOOKUP(G8,'TOTAL - LCB'!$A$18:$AE$1019,18,FALSE)</f>
        <v>CARTONS</v>
      </c>
      <c r="W44" s="7"/>
      <c r="X44" s="7"/>
      <c r="Y44" s="7"/>
      <c r="Z44" s="7"/>
      <c r="AA44" s="7"/>
      <c r="AB44" s="208"/>
      <c r="AC44" s="221"/>
      <c r="AD44" s="204"/>
      <c r="AE44" s="221"/>
      <c r="AF44" s="204"/>
      <c r="AG44" s="221"/>
      <c r="AH44" s="204" t="s">
        <v>836</v>
      </c>
      <c r="AI44" s="221"/>
      <c r="AJ44" s="204"/>
      <c r="AK44" s="204"/>
      <c r="AL44" s="206"/>
    </row>
    <row r="45" spans="1:38" ht="12.75" customHeight="1">
      <c r="A45" s="7"/>
      <c r="B45" s="7"/>
      <c r="C45" s="7"/>
      <c r="D45" s="32"/>
      <c r="E45" s="7"/>
      <c r="F45" s="7"/>
      <c r="G45" s="7"/>
      <c r="H45" s="7"/>
      <c r="I45" s="7"/>
      <c r="J45" s="7"/>
      <c r="K45" s="7"/>
      <c r="L45" s="7"/>
      <c r="M45" s="32"/>
      <c r="N45" s="7"/>
      <c r="O45" s="7"/>
      <c r="P45" s="7"/>
      <c r="Q45" s="7"/>
      <c r="R45" s="7"/>
      <c r="S45" s="7" t="s">
        <v>837</v>
      </c>
      <c r="T45" s="7"/>
      <c r="U45" s="39">
        <f>SUM(E43)</f>
        <v>16629.099999999999</v>
      </c>
      <c r="V45" s="7" t="s">
        <v>838</v>
      </c>
      <c r="W45" s="7"/>
      <c r="X45" s="7"/>
      <c r="Y45" s="7"/>
      <c r="Z45" s="7"/>
      <c r="AA45" s="7"/>
      <c r="AB45" s="208"/>
      <c r="AC45" s="221"/>
      <c r="AD45" s="204"/>
      <c r="AE45" s="221"/>
      <c r="AF45" s="204"/>
      <c r="AG45" s="221"/>
      <c r="AH45" s="204" t="s">
        <v>839</v>
      </c>
      <c r="AI45" s="221"/>
      <c r="AJ45" s="204"/>
      <c r="AK45" s="204"/>
      <c r="AL45" s="206"/>
    </row>
    <row r="46" spans="1:38" ht="12.75" customHeight="1">
      <c r="A46" s="7" t="s">
        <v>827</v>
      </c>
      <c r="B46" s="7"/>
      <c r="C46" s="7" t="str">
        <f>VLOOKUP(G8,'TOTAL - LCB'!$A$18:$AE$1019,31,FALSE)</f>
        <v>KMTC JAKARTA 2506N</v>
      </c>
      <c r="D46" s="7"/>
      <c r="E46" s="41" t="s">
        <v>831</v>
      </c>
      <c r="F46" s="112">
        <f>VLOOKUP(G8,'TOTAL - LCB'!$A$18:$AE$1019,28,FALSE)</f>
        <v>45809</v>
      </c>
      <c r="G46" s="7"/>
      <c r="H46" s="7"/>
      <c r="I46" s="7"/>
      <c r="J46" s="7" t="s">
        <v>827</v>
      </c>
      <c r="K46" s="7"/>
      <c r="L46" s="7" t="str">
        <f>VLOOKUP(P8,'TOTAL - LCB'!$A$18:$AE$1019,31,FALSE)</f>
        <v>KMTC JAKARTA 2506N</v>
      </c>
      <c r="M46" s="41"/>
      <c r="N46" s="41"/>
      <c r="O46" s="112"/>
      <c r="P46" s="7"/>
      <c r="Q46" s="7"/>
      <c r="R46" s="7"/>
      <c r="S46" s="7" t="s">
        <v>840</v>
      </c>
      <c r="T46" s="7"/>
      <c r="U46" s="39">
        <f>SUM(F43)</f>
        <v>18537.599999999999</v>
      </c>
      <c r="V46" s="7" t="s">
        <v>838</v>
      </c>
      <c r="W46" s="7"/>
      <c r="X46" s="7"/>
      <c r="Y46" s="7"/>
      <c r="Z46" s="7"/>
      <c r="AA46" s="7"/>
      <c r="AB46" s="208"/>
      <c r="AC46" s="221"/>
      <c r="AD46" s="204"/>
      <c r="AE46" s="221"/>
      <c r="AF46" s="204"/>
      <c r="AG46" s="221"/>
      <c r="AH46" s="204" t="s">
        <v>841</v>
      </c>
      <c r="AI46" s="221"/>
      <c r="AJ46" s="204"/>
      <c r="AK46" s="204"/>
      <c r="AL46" s="206"/>
    </row>
    <row r="47" spans="1:38" ht="12.75" customHeight="1">
      <c r="A47" s="123" t="s">
        <v>834</v>
      </c>
      <c r="B47" s="7"/>
      <c r="C47" s="7" t="s">
        <v>804</v>
      </c>
      <c r="D47" s="32"/>
      <c r="E47" s="7"/>
      <c r="F47" s="7"/>
      <c r="G47" s="7"/>
      <c r="H47" s="7"/>
      <c r="I47" s="7"/>
      <c r="J47" s="123" t="s">
        <v>1650</v>
      </c>
      <c r="K47" s="7"/>
      <c r="L47" s="7" t="str">
        <f>VLOOKUP(P8,'TOTAL - LCB'!$A$18:$AE$1019,30,FALSE)</f>
        <v>NANSHA</v>
      </c>
      <c r="M47" s="32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208"/>
      <c r="AC47" s="221"/>
      <c r="AD47" s="204"/>
      <c r="AE47" s="221"/>
      <c r="AF47" s="204"/>
      <c r="AG47" s="221"/>
      <c r="AH47" s="204"/>
      <c r="AI47" s="204"/>
      <c r="AJ47" s="204"/>
      <c r="AK47" s="204"/>
      <c r="AL47" s="206"/>
    </row>
    <row r="48" spans="1:38" ht="12.75" customHeight="1">
      <c r="A48" s="32" t="s">
        <v>832</v>
      </c>
      <c r="B48" s="7"/>
      <c r="C48" s="7"/>
      <c r="D48" s="7" t="str">
        <f>VLOOKUP(G8,'TOTAL - LCB'!$A$18:$AE$1019,30,FALSE)</f>
        <v>NANSHA</v>
      </c>
      <c r="E48" s="7"/>
      <c r="F48" s="7"/>
      <c r="G48" s="7"/>
      <c r="H48" s="7"/>
      <c r="I48" s="7"/>
      <c r="J48" s="32" t="s">
        <v>832</v>
      </c>
      <c r="K48" s="7"/>
      <c r="L48" s="7"/>
      <c r="M48" s="7" t="str">
        <f>VLOOKUP(P8,'TOTAL - LCB'!$A$18:$AE$1019,30,FALSE)</f>
        <v>NANSHA</v>
      </c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216" t="s">
        <v>842</v>
      </c>
      <c r="AC48" s="221"/>
      <c r="AD48" s="204"/>
      <c r="AE48" s="221"/>
      <c r="AF48" s="204"/>
      <c r="AG48" s="221"/>
      <c r="AH48" s="204"/>
      <c r="AI48" s="204"/>
      <c r="AJ48" s="204"/>
      <c r="AK48" s="204"/>
      <c r="AL48" s="206"/>
    </row>
    <row r="49" spans="1:38" ht="12.75" customHeight="1">
      <c r="A49" s="7" t="s">
        <v>835</v>
      </c>
      <c r="B49" s="7"/>
      <c r="C49" s="7" t="str">
        <f>VLOOKUP(G8,'TOTAL - LCB'!$A$18:$AE$1019,10,FALSE)</f>
        <v>FSCU5894529</v>
      </c>
      <c r="D49" s="7"/>
      <c r="E49" s="7"/>
      <c r="F49" s="7"/>
      <c r="G49" s="7"/>
      <c r="H49" s="7"/>
      <c r="I49" s="7"/>
      <c r="J49" s="7" t="s">
        <v>835</v>
      </c>
      <c r="K49" s="7"/>
      <c r="L49" s="7" t="str">
        <f>VLOOKUP(P8,'TOTAL - LCB'!$A$18:$AE$1019,10,FALSE)</f>
        <v>FSCU5894529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228" t="s">
        <v>843</v>
      </c>
      <c r="AC49" s="163"/>
      <c r="AD49" s="126"/>
      <c r="AE49" s="126"/>
      <c r="AF49" s="126"/>
      <c r="AG49" s="126"/>
      <c r="AH49" s="126"/>
      <c r="AI49" s="204"/>
      <c r="AJ49" s="204"/>
      <c r="AK49" s="204"/>
      <c r="AL49" s="206"/>
    </row>
    <row r="50" spans="1:38" ht="12.75" customHeight="1">
      <c r="A50" s="7"/>
      <c r="B50" s="7"/>
      <c r="C50" s="162"/>
      <c r="D50" s="7"/>
      <c r="E50" s="7"/>
      <c r="F50" s="7"/>
      <c r="G50" s="7"/>
      <c r="H50" s="7"/>
      <c r="I50" s="7"/>
      <c r="J50" s="7"/>
      <c r="K50" s="7"/>
      <c r="L50" s="162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216" t="s">
        <v>844</v>
      </c>
      <c r="AC50" s="221"/>
      <c r="AD50" s="204"/>
      <c r="AE50" s="204"/>
      <c r="AF50" s="204"/>
      <c r="AG50" s="204"/>
      <c r="AH50" s="204"/>
      <c r="AI50" s="129"/>
      <c r="AJ50" s="129"/>
      <c r="AK50" s="129"/>
      <c r="AL50" s="229"/>
    </row>
    <row r="51" spans="1:38" ht="12.75" customHeight="1">
      <c r="A51" s="7" t="s">
        <v>824</v>
      </c>
      <c r="B51" s="7"/>
      <c r="C51" s="42">
        <f>SUM(B43)</f>
        <v>972</v>
      </c>
      <c r="D51" s="7" t="str">
        <f>VLOOKUP(G8,'TOTAL - LCB'!$A$18:$AE$1019,18,FALSE)</f>
        <v>CARTONS</v>
      </c>
      <c r="E51" s="7"/>
      <c r="F51" s="7"/>
      <c r="G51" s="7"/>
      <c r="H51" s="7"/>
      <c r="I51" s="7"/>
      <c r="J51" s="7" t="s">
        <v>824</v>
      </c>
      <c r="K51" s="7"/>
      <c r="L51" s="42">
        <f>SUM(K43)</f>
        <v>972</v>
      </c>
      <c r="M51" s="7" t="str">
        <f>VLOOKUP(G8,'TOTAL - LCB'!$A$18:$AE$1019,18,FALSE)</f>
        <v>CARTONS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230">
        <f>SUM(B43)</f>
        <v>972</v>
      </c>
      <c r="AC51" s="163" t="str">
        <f>VLOOKUP(AJ4,'TOTAL - LCB'!$A$18:$AE$1019,18,FALSE)</f>
        <v>CARTONS</v>
      </c>
      <c r="AD51" s="126"/>
      <c r="AE51" s="126"/>
      <c r="AF51" s="126"/>
      <c r="AG51" s="126"/>
      <c r="AH51" s="126"/>
      <c r="AI51" s="126"/>
      <c r="AJ51" s="126"/>
      <c r="AK51" s="126"/>
      <c r="AL51" s="219"/>
    </row>
    <row r="52" spans="1:38" ht="12.75" customHeight="1">
      <c r="A52" s="7" t="s">
        <v>837</v>
      </c>
      <c r="B52" s="7"/>
      <c r="C52" s="39">
        <f>SUM(E43)</f>
        <v>16629.099999999999</v>
      </c>
      <c r="D52" s="7" t="s">
        <v>838</v>
      </c>
      <c r="E52" s="7"/>
      <c r="F52" s="7"/>
      <c r="G52" s="7"/>
      <c r="H52" s="7"/>
      <c r="I52" s="7"/>
      <c r="J52" s="7" t="s">
        <v>837</v>
      </c>
      <c r="K52" s="7"/>
      <c r="L52" s="39">
        <f>SUM(N43)</f>
        <v>16629.099999999999</v>
      </c>
      <c r="M52" s="7" t="s">
        <v>838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216" t="s">
        <v>845</v>
      </c>
      <c r="AC52" s="221"/>
      <c r="AD52" s="204"/>
      <c r="AE52" s="204"/>
      <c r="AF52" s="204"/>
      <c r="AG52" s="204"/>
      <c r="AH52" s="151" t="s">
        <v>846</v>
      </c>
      <c r="AI52" s="129"/>
      <c r="AJ52" s="129"/>
      <c r="AK52" s="129"/>
      <c r="AL52" s="229"/>
    </row>
    <row r="53" spans="1:38" ht="12.75" customHeight="1">
      <c r="A53" s="7" t="s">
        <v>840</v>
      </c>
      <c r="B53" s="7"/>
      <c r="C53" s="39">
        <f>SUM(F43)</f>
        <v>18537.599999999999</v>
      </c>
      <c r="D53" s="7" t="s">
        <v>838</v>
      </c>
      <c r="E53" s="7"/>
      <c r="F53" s="7"/>
      <c r="G53" s="7"/>
      <c r="H53" s="7"/>
      <c r="I53" s="7"/>
      <c r="J53" s="7" t="s">
        <v>840</v>
      </c>
      <c r="K53" s="7"/>
      <c r="L53" s="39">
        <f>SUM(O43)</f>
        <v>18537.599999999999</v>
      </c>
      <c r="M53" s="7" t="s">
        <v>838</v>
      </c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216"/>
      <c r="AC53" s="204"/>
      <c r="AD53" s="204"/>
      <c r="AE53" s="204"/>
      <c r="AF53" s="204"/>
      <c r="AG53" s="204"/>
      <c r="AH53" s="204"/>
      <c r="AI53" s="204"/>
      <c r="AJ53" s="204"/>
      <c r="AK53" s="204"/>
      <c r="AL53" s="206"/>
    </row>
    <row r="54" spans="1:38" ht="12.75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208"/>
      <c r="AC54" s="204"/>
      <c r="AD54" s="204"/>
      <c r="AE54" s="204"/>
      <c r="AF54" s="204"/>
      <c r="AG54" s="204"/>
      <c r="AH54" s="204"/>
      <c r="AI54" s="204"/>
      <c r="AJ54" s="204"/>
      <c r="AK54" s="204"/>
      <c r="AL54" s="206"/>
    </row>
    <row r="55" spans="1:38" ht="12.75" customHeight="1">
      <c r="A55" s="7" t="s">
        <v>829</v>
      </c>
      <c r="B55" s="30">
        <f>VLOOKUP(G8,'TOTAL - LCB'!$A$18:$AE$1019,19,FALSE)</f>
        <v>13</v>
      </c>
      <c r="C55" s="7" t="s">
        <v>830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823"/>
      <c r="AC55" s="824"/>
      <c r="AD55" s="824"/>
      <c r="AE55" s="824"/>
      <c r="AF55" s="824"/>
      <c r="AG55" s="824"/>
      <c r="AH55" s="204"/>
      <c r="AI55" s="204"/>
      <c r="AJ55" s="204"/>
      <c r="AK55" s="204"/>
      <c r="AL55" s="206"/>
    </row>
    <row r="56" spans="1:38" ht="12.75" customHeight="1">
      <c r="A56" s="7" t="s">
        <v>833</v>
      </c>
      <c r="B56" s="63" t="str">
        <f>VLOOKUP(G8,'TOTAL - LCB'!$A$18:$AE$1019,20,FALSE)</f>
        <v>30%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208"/>
      <c r="AC56" s="204"/>
      <c r="AD56" s="204"/>
      <c r="AE56" s="204"/>
      <c r="AF56" s="204"/>
      <c r="AG56" s="204"/>
      <c r="AH56" s="168" t="s">
        <v>847</v>
      </c>
      <c r="AI56" s="126"/>
      <c r="AJ56" s="126"/>
      <c r="AK56" s="126"/>
      <c r="AL56" s="219"/>
    </row>
    <row r="57" spans="1:38" ht="12.75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231"/>
      <c r="AC57" s="204"/>
      <c r="AD57" s="204"/>
      <c r="AE57" s="204"/>
      <c r="AF57" s="204"/>
      <c r="AG57" s="204"/>
      <c r="AH57" s="129"/>
      <c r="AI57" s="204"/>
      <c r="AJ57" s="204"/>
      <c r="AK57" s="204"/>
      <c r="AL57" s="206"/>
    </row>
    <row r="58" spans="1:38" ht="12.75" customHeight="1" thickBo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232"/>
      <c r="AC58" s="233"/>
      <c r="AD58" s="233"/>
      <c r="AE58" s="233"/>
      <c r="AF58" s="233"/>
      <c r="AG58" s="233"/>
      <c r="AH58" s="233" t="s">
        <v>848</v>
      </c>
      <c r="AI58" s="233"/>
      <c r="AJ58" s="233"/>
      <c r="AK58" s="233"/>
      <c r="AL58" s="234"/>
    </row>
    <row r="59" spans="1:38" ht="12.75" customHeight="1" thickBo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</row>
    <row r="60" spans="1:38" ht="12.75" customHeight="1">
      <c r="A60" s="164"/>
      <c r="B60" s="165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</row>
    <row r="61" spans="1:38" ht="12.75" customHeight="1">
      <c r="A61" s="166" t="s">
        <v>184</v>
      </c>
      <c r="B61" s="167" t="str">
        <f>VLOOKUP(G8,'TOTAL - LCB'!$A$18:$AE$1019,5,FALSE)</f>
        <v>ล้งโชคดี(ท่าใหม่)</v>
      </c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</row>
    <row r="62" spans="1:38" ht="12.75" customHeight="1" thickBot="1">
      <c r="A62" s="169"/>
      <c r="B62" s="170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</row>
    <row r="63" spans="1:38" ht="12.75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</row>
    <row r="64" spans="1:38" ht="12.75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</row>
    <row r="65" spans="1:38" ht="12.75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</row>
    <row r="66" spans="1:38" ht="12.75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</row>
    <row r="67" spans="1:38" ht="12.75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</row>
    <row r="68" spans="1:38" ht="12.75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</row>
    <row r="69" spans="1:38" ht="12.75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</row>
    <row r="70" spans="1:38" ht="12.75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</row>
    <row r="71" spans="1:38" ht="12.75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</row>
    <row r="72" spans="1:38" ht="12.75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</row>
    <row r="73" spans="1:38" ht="12.75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</row>
    <row r="74" spans="1:38" ht="12.75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</row>
    <row r="75" spans="1:38" ht="12.75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</row>
    <row r="76" spans="1:38" ht="12.75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</row>
    <row r="77" spans="1:38" ht="12.75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</row>
    <row r="78" spans="1:38" ht="12.75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</row>
    <row r="79" spans="1:38" ht="12.75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</row>
    <row r="80" spans="1:38" ht="12.75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</row>
    <row r="81" spans="1:38" ht="12.75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</row>
    <row r="82" spans="1:38" ht="12.75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</row>
    <row r="83" spans="1:38" ht="12.75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</row>
    <row r="84" spans="1:38" ht="12.75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</row>
    <row r="85" spans="1:38" ht="12.75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</row>
    <row r="86" spans="1:38" ht="12.75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</row>
    <row r="87" spans="1:38" ht="12.75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</row>
    <row r="88" spans="1:38" ht="12.75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</row>
    <row r="89" spans="1:38" ht="12.75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</row>
    <row r="90" spans="1:38" ht="12.75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</row>
    <row r="91" spans="1:38" ht="12.75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</row>
    <row r="92" spans="1:38" ht="12.75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</row>
    <row r="93" spans="1:38" ht="12.75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</row>
    <row r="94" spans="1:38" ht="12.75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</row>
    <row r="95" spans="1:38" ht="12.75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</row>
    <row r="96" spans="1:38" ht="12.75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</row>
    <row r="97" spans="1:38" ht="12.75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</row>
    <row r="98" spans="1:38" ht="12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</row>
    <row r="99" spans="1:38" ht="12.75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</row>
    <row r="100" spans="1:38" ht="12.75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</row>
    <row r="101" spans="1:38" ht="12.75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</row>
    <row r="102" spans="1:38" ht="12.75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</row>
    <row r="103" spans="1:38" ht="12.75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</row>
    <row r="104" spans="1:38" ht="12.75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</row>
    <row r="105" spans="1:38" ht="12.75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</row>
    <row r="106" spans="1:38" ht="12.75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</row>
    <row r="107" spans="1:38" ht="12.75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</row>
    <row r="108" spans="1:38" ht="12.75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</row>
    <row r="109" spans="1:38" ht="12.75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</row>
    <row r="110" spans="1:38" ht="12.75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</row>
    <row r="111" spans="1:38" ht="12.75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</row>
    <row r="112" spans="1:38" ht="12.75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</row>
    <row r="113" spans="1:38" ht="12.75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</row>
    <row r="114" spans="1:38" ht="12.75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</row>
    <row r="115" spans="1:38" ht="12.75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</row>
    <row r="116" spans="1:38" ht="12.75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</row>
    <row r="117" spans="1:38" ht="12.75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</row>
    <row r="118" spans="1:38" ht="12.75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</row>
    <row r="119" spans="1:38" ht="12.75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</row>
    <row r="120" spans="1:38" ht="12.75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</row>
    <row r="121" spans="1:38" ht="12.75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</row>
    <row r="122" spans="1:38" ht="12.75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</row>
    <row r="123" spans="1:38" ht="12.75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</row>
    <row r="124" spans="1:38" ht="12.75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</row>
    <row r="125" spans="1:38" ht="12.75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</row>
    <row r="126" spans="1:38" ht="12.75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</row>
    <row r="127" spans="1:38" ht="12.75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</row>
    <row r="128" spans="1:38" ht="12.75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</row>
    <row r="129" spans="1:38" ht="12.75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</row>
    <row r="130" spans="1:38" ht="12.75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</row>
    <row r="131" spans="1:38" ht="12.75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</row>
    <row r="132" spans="1:38" ht="12.75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</row>
    <row r="133" spans="1:38" ht="12.75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</row>
    <row r="134" spans="1:38" ht="12.75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</row>
    <row r="135" spans="1:38" ht="12.75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</row>
    <row r="136" spans="1:38" ht="12.75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</row>
    <row r="137" spans="1:38" ht="12.75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</row>
    <row r="138" spans="1:38" ht="12.75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</row>
    <row r="139" spans="1:38" ht="12.75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</row>
    <row r="140" spans="1:38" ht="12.75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</row>
    <row r="141" spans="1:38" ht="12.75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</row>
    <row r="142" spans="1:38" ht="12.75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</row>
    <row r="143" spans="1:38" ht="12.75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</row>
    <row r="144" spans="1:38" ht="12.75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</row>
    <row r="145" spans="1:38" ht="12.75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</row>
    <row r="146" spans="1:38" ht="12.75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</row>
    <row r="147" spans="1:38" ht="12.75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</row>
    <row r="148" spans="1:38" ht="12.75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</row>
    <row r="149" spans="1:38" ht="12.75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</row>
    <row r="150" spans="1:38" ht="12.75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</row>
    <row r="151" spans="1:38" ht="12.75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</row>
    <row r="152" spans="1:38" ht="12.75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</row>
    <row r="153" spans="1:38" ht="12.75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</row>
    <row r="154" spans="1:38" ht="12.75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</row>
    <row r="155" spans="1:38" ht="12.75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</row>
    <row r="156" spans="1:38" ht="12.75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</row>
    <row r="157" spans="1:38" ht="12.75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</row>
    <row r="158" spans="1:38" ht="12.75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</row>
    <row r="159" spans="1:38" ht="12.75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</row>
    <row r="160" spans="1:38" ht="12.75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</row>
    <row r="161" spans="1:38" ht="12.75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</row>
    <row r="162" spans="1:38" ht="12.75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</row>
    <row r="163" spans="1:38" ht="12.75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</row>
    <row r="164" spans="1:38" ht="12.75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</row>
    <row r="165" spans="1:38" ht="12.75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</row>
    <row r="166" spans="1:38" ht="12.75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</row>
    <row r="167" spans="1:38" ht="12.75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</row>
    <row r="168" spans="1:38" ht="12.75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</row>
    <row r="169" spans="1:38" ht="12.75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</row>
    <row r="170" spans="1:38" ht="12.75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</row>
    <row r="171" spans="1:38" ht="12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</row>
    <row r="172" spans="1:38" ht="12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</row>
    <row r="173" spans="1:38" ht="12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</row>
    <row r="174" spans="1:38" ht="12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</row>
    <row r="175" spans="1:38" ht="12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</row>
    <row r="176" spans="1:38" ht="12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</row>
    <row r="177" spans="1:38" ht="12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</row>
    <row r="178" spans="1:38" ht="12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</row>
    <row r="179" spans="1:38" ht="12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</row>
    <row r="180" spans="1:38" ht="12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</row>
    <row r="181" spans="1:38" ht="12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</row>
    <row r="182" spans="1:38" ht="12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</row>
    <row r="183" spans="1:38" ht="12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</row>
    <row r="184" spans="1:38" ht="12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</row>
    <row r="185" spans="1:38" ht="12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</row>
    <row r="186" spans="1:38" ht="12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</row>
    <row r="187" spans="1:38" ht="12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</row>
    <row r="188" spans="1:38" ht="12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</row>
    <row r="189" spans="1:38" ht="12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</row>
    <row r="190" spans="1:38" ht="12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</row>
    <row r="191" spans="1:38" ht="12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</row>
    <row r="192" spans="1:38" ht="12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</row>
    <row r="193" spans="1:38" ht="12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</row>
    <row r="194" spans="1:38" ht="12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</row>
    <row r="195" spans="1:38" ht="12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</row>
    <row r="196" spans="1:38" ht="12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</row>
    <row r="197" spans="1:38" ht="12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</row>
    <row r="198" spans="1:38" ht="12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</row>
    <row r="199" spans="1:38" ht="12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</row>
    <row r="200" spans="1:38" ht="12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</row>
    <row r="201" spans="1:38" ht="12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</row>
    <row r="202" spans="1:38" ht="12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</row>
    <row r="203" spans="1:38" ht="12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</row>
    <row r="204" spans="1:38" ht="12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</row>
    <row r="205" spans="1:38" ht="12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</row>
    <row r="206" spans="1:38" ht="12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</row>
    <row r="207" spans="1:38" ht="12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</row>
    <row r="208" spans="1:38" ht="12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</row>
    <row r="209" spans="1:38" ht="12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</row>
    <row r="210" spans="1:38" ht="12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</row>
    <row r="211" spans="1:38" ht="12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</row>
    <row r="212" spans="1:38" ht="12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</row>
    <row r="213" spans="1:38" ht="12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</row>
    <row r="214" spans="1:38" ht="12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</row>
    <row r="215" spans="1:38" ht="12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</row>
    <row r="216" spans="1:38" ht="12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</row>
    <row r="217" spans="1:38" ht="12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</row>
    <row r="218" spans="1:38" ht="12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</row>
    <row r="219" spans="1:38" ht="12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</row>
    <row r="220" spans="1:38" ht="12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</row>
    <row r="221" spans="1:38" ht="12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</row>
    <row r="222" spans="1:38" ht="12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</row>
    <row r="223" spans="1:38" ht="12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</row>
    <row r="224" spans="1:38" ht="12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</row>
    <row r="225" spans="1:38" ht="12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</row>
    <row r="226" spans="1:38" ht="12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</row>
    <row r="227" spans="1:38" ht="12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</row>
    <row r="228" spans="1:38" ht="12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</row>
    <row r="229" spans="1:38" ht="12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</row>
    <row r="230" spans="1:38" ht="12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</row>
    <row r="231" spans="1:38" ht="12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</row>
    <row r="232" spans="1:38" ht="12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</row>
    <row r="233" spans="1:38" ht="12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</row>
    <row r="234" spans="1:38" ht="12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</row>
    <row r="235" spans="1:38" ht="12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</row>
    <row r="236" spans="1:38" ht="12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</row>
    <row r="237" spans="1:38" ht="12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</row>
    <row r="238" spans="1:38" ht="12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</row>
    <row r="239" spans="1:38" ht="12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</row>
    <row r="240" spans="1:38" ht="12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</row>
    <row r="241" spans="1:38" ht="12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</row>
    <row r="242" spans="1:38" ht="12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</row>
    <row r="243" spans="1:38" ht="12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</row>
    <row r="244" spans="1:38" ht="12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</row>
    <row r="245" spans="1:38" ht="12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</row>
    <row r="246" spans="1:38" ht="12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</row>
    <row r="247" spans="1:38" ht="12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</row>
    <row r="248" spans="1:38" ht="12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</row>
    <row r="249" spans="1:38" ht="12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</row>
    <row r="250" spans="1:38" ht="12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</row>
    <row r="251" spans="1:38" ht="12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</row>
    <row r="252" spans="1:38" ht="12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</row>
    <row r="253" spans="1:38" ht="12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</row>
    <row r="254" spans="1:38" ht="12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</row>
    <row r="255" spans="1:38" ht="12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</row>
    <row r="256" spans="1:38" ht="12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</row>
    <row r="257" spans="1:38" ht="12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</row>
    <row r="258" spans="1:3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</row>
    <row r="259" spans="1:38" ht="15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</row>
    <row r="260" spans="1:38" ht="15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</row>
    <row r="261" spans="1:38" ht="15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</row>
    <row r="262" spans="1:38" ht="15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</row>
    <row r="263" spans="1:38" ht="15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</row>
    <row r="264" spans="1:38" ht="15.75" customHeight="1"/>
    <row r="265" spans="1:38" ht="15.75" customHeight="1"/>
    <row r="266" spans="1:38" ht="15.75" customHeight="1"/>
    <row r="267" spans="1:38" ht="15.75" customHeight="1"/>
    <row r="268" spans="1:38" ht="15.75" customHeight="1"/>
    <row r="269" spans="1:38" ht="15.75" customHeight="1"/>
    <row r="270" spans="1:38" ht="15.75" customHeight="1"/>
    <row r="271" spans="1:38" ht="15.75" customHeight="1"/>
    <row r="272" spans="1:38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8">
    <mergeCell ref="AB55:AG55"/>
    <mergeCell ref="A3:H3"/>
    <mergeCell ref="J3:Q3"/>
    <mergeCell ref="S3:Z3"/>
    <mergeCell ref="A5:H5"/>
    <mergeCell ref="J5:Q5"/>
    <mergeCell ref="S5:Z5"/>
    <mergeCell ref="T24:U24"/>
    <mergeCell ref="X24:Y25"/>
    <mergeCell ref="T25:U25"/>
    <mergeCell ref="S36:U36"/>
    <mergeCell ref="X36:Y36"/>
    <mergeCell ref="A1:H1"/>
    <mergeCell ref="J1:Q1"/>
    <mergeCell ref="S1:Z1"/>
    <mergeCell ref="A2:H2"/>
    <mergeCell ref="J2:Q2"/>
    <mergeCell ref="S2:Z2"/>
  </mergeCells>
  <pageMargins left="0.25" right="0.25" top="0.75" bottom="0.75" header="0" footer="0"/>
  <pageSetup paperSize="9" scale="9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37039-F404-49E3-87AC-CEADB641284A}">
  <sheetPr codeName="Sheet56"/>
  <dimension ref="A1:O43"/>
  <sheetViews>
    <sheetView workbookViewId="0">
      <selection activeCell="D30" sqref="A5:D30"/>
    </sheetView>
  </sheetViews>
  <sheetFormatPr defaultRowHeight="15"/>
  <cols>
    <col min="1" max="1" width="14.85546875" style="554" customWidth="1"/>
    <col min="2" max="2" width="19.7109375" customWidth="1"/>
    <col min="3" max="3" width="8.7109375" customWidth="1"/>
    <col min="4" max="4" width="8.85546875" style="541"/>
    <col min="7" max="7" width="13.28515625" bestFit="1" customWidth="1"/>
    <col min="8" max="8" width="17.28515625" bestFit="1" customWidth="1"/>
    <col min="9" max="9" width="12.7109375" bestFit="1" customWidth="1"/>
    <col min="10" max="10" width="9.28515625" customWidth="1"/>
    <col min="11" max="11" width="15.42578125" bestFit="1" customWidth="1"/>
    <col min="13" max="13" width="15.42578125" customWidth="1"/>
    <col min="14" max="14" width="15.28515625" customWidth="1"/>
    <col min="15" max="15" width="11.28515625" bestFit="1" customWidth="1"/>
  </cols>
  <sheetData>
    <row r="1" spans="1:9">
      <c r="A1" s="603" t="s">
        <v>1705</v>
      </c>
      <c r="B1" s="653" t="str">
        <f>VLOOKUP($B$3,'TOTAL - LCB'!$A$150:$AV$242,46,FALSE)</f>
        <v>xxxxxx</v>
      </c>
      <c r="I1" s="798"/>
    </row>
    <row r="2" spans="1:9" ht="17.25">
      <c r="A2" s="607" t="s">
        <v>1726</v>
      </c>
      <c r="I2" s="799"/>
    </row>
    <row r="3" spans="1:9">
      <c r="A3" s="553" t="s">
        <v>1670</v>
      </c>
      <c r="B3" s="552" t="s">
        <v>2124</v>
      </c>
      <c r="I3" s="798"/>
    </row>
    <row r="4" spans="1:9">
      <c r="A4" s="553"/>
      <c r="B4" s="810"/>
      <c r="I4" s="798"/>
    </row>
    <row r="5" spans="1:9">
      <c r="A5" t="str">
        <f>VLOOKUP($B$3,'TOTAL - LCB'!$A$150:$AV$242,1,FALSE)</f>
        <v>DYY-LCH25119</v>
      </c>
      <c r="B5" s="810"/>
      <c r="H5" t="s">
        <v>1990</v>
      </c>
      <c r="I5" s="798"/>
    </row>
    <row r="6" spans="1:9">
      <c r="A6" s="805" t="s">
        <v>2231</v>
      </c>
      <c r="B6" s="808" t="str">
        <f>VLOOKUP($B$3,'TOTAL - LCB'!$A$150:$AV$242,2,FALSE)</f>
        <v>6/18/2025</v>
      </c>
      <c r="C6" t="s">
        <v>2250</v>
      </c>
      <c r="H6" t="s">
        <v>2254</v>
      </c>
      <c r="I6" s="800"/>
    </row>
    <row r="7" spans="1:9">
      <c r="A7" s="746" t="str">
        <f>VLOOKUP($B$3,'TOTAL - LCB'!$A$150:$AV$242,3,FALSE)</f>
        <v>BEST WEALTHY</v>
      </c>
      <c r="B7" s="746" t="str">
        <f>VLOOKUP($B$3,'TOTAL - LCB'!$A$150:$AV$242,4,FALSE)&amp;"- รถใส่มังคุด(ทางเรือ)"</f>
        <v>2- รถใส่มังคุด(ทางเรือ)</v>
      </c>
      <c r="H7" t="s">
        <v>2255</v>
      </c>
      <c r="I7" s="798"/>
    </row>
    <row r="8" spans="1:9">
      <c r="A8" s="556" t="s">
        <v>2232</v>
      </c>
      <c r="B8" s="746">
        <f>VLOOKUP($B$3,'TOTAL - LCB'!$A$150:$AV$242,17,FALSE)</f>
        <v>2400</v>
      </c>
      <c r="C8" t="str">
        <f>VLOOKUP($B$3,'TOTAL - LCB'!$A$150:$AV$242,18,FALSE)</f>
        <v>PLASTIC BASKETS</v>
      </c>
      <c r="H8" t="s">
        <v>2256</v>
      </c>
      <c r="I8" s="798"/>
    </row>
    <row r="9" spans="1:9">
      <c r="A9" s="805" t="s">
        <v>854</v>
      </c>
      <c r="B9" s="813">
        <f>VLOOKUP($B$3,'TOTAL - LCB'!$A$150:$AV$242,14,FALSE)</f>
        <v>1.8</v>
      </c>
      <c r="C9" s="797" t="s">
        <v>853</v>
      </c>
      <c r="D9" s="813">
        <f>VLOOKUP($B$3,'TOTAL - LCB'!$A$150:$AV$242,13,FALSE)</f>
        <v>75</v>
      </c>
      <c r="H9" t="s">
        <v>2257</v>
      </c>
      <c r="I9" s="802"/>
    </row>
    <row r="10" spans="1:9" ht="16.5">
      <c r="A10" s="798" t="s">
        <v>2233</v>
      </c>
      <c r="B10" s="746" t="str">
        <f>VLOOKUP($B$3,'TOTAL - LCB'!$A$150:$AV$242,16,FALSE)&amp;" KG."</f>
        <v>7 KG.</v>
      </c>
      <c r="C10" s="797" t="s">
        <v>2234</v>
      </c>
      <c r="D10" s="746" t="str">
        <f>VLOOKUP($B$3,'TOTAL - LCB'!$A$150:$AV$242,15,FALSE)&amp;" KG."</f>
        <v>8.5 KG.</v>
      </c>
      <c r="H10" t="s">
        <v>2258</v>
      </c>
      <c r="I10" s="802"/>
    </row>
    <row r="11" spans="1:9">
      <c r="A11" s="603" t="s">
        <v>2235</v>
      </c>
      <c r="B11" t="str">
        <f>VLOOKUP($B$3,'TOTAL - LCB'!$A$150:$AV$242,33,FALSE)</f>
        <v>จรูญ จันทะคราม</v>
      </c>
      <c r="C11" s="797"/>
      <c r="H11" t="s">
        <v>2259</v>
      </c>
      <c r="I11" s="803"/>
    </row>
    <row r="12" spans="1:9">
      <c r="A12" s="556" t="s">
        <v>2236</v>
      </c>
      <c r="B12" t="str">
        <f>VLOOKUP($B$3,'TOTAL - LCB'!$A$150:$AV$242,34,FALSE)</f>
        <v>093-0392926</v>
      </c>
      <c r="D12" s="746"/>
      <c r="H12" t="s">
        <v>2260</v>
      </c>
      <c r="I12" s="803"/>
    </row>
    <row r="13" spans="1:9">
      <c r="A13" s="553" t="s">
        <v>2237</v>
      </c>
      <c r="B13" t="str">
        <f>VLOOKUP($B$3,'TOTAL - LCB'!$A$150:$AV$242,35,FALSE)&amp;" ("</f>
        <v>74-2081/71-2262 (</v>
      </c>
      <c r="C13" t="str">
        <f>VLOOKUP($B$3,'TOTAL - LCB'!$A$150:$AV$242,32,FALSE)&amp;" )"</f>
        <v>พี่บิ๊ก )</v>
      </c>
      <c r="H13" t="s">
        <v>2261</v>
      </c>
      <c r="I13" s="803"/>
    </row>
    <row r="14" spans="1:9">
      <c r="A14" s="553"/>
      <c r="H14" t="s">
        <v>2262</v>
      </c>
      <c r="I14" s="798"/>
    </row>
    <row r="15" spans="1:9">
      <c r="A15" s="553" t="s">
        <v>2238</v>
      </c>
      <c r="B15" t="str">
        <f>VLOOKUP($B$3,'TOTAL - LCB'!$A$150:$AV$242,9,FALSE)</f>
        <v>HASLS22250601794</v>
      </c>
      <c r="G15" s="728"/>
      <c r="H15" s="728" t="s">
        <v>2263</v>
      </c>
      <c r="I15" s="802"/>
    </row>
    <row r="16" spans="1:9">
      <c r="A16" s="553" t="s">
        <v>2239</v>
      </c>
      <c r="B16" s="728" t="str">
        <f>VLOOKUP($B$3,'TOTAL - LCB'!$A$150:$AV$242,10,FALSE)</f>
        <v>FSCU5909700</v>
      </c>
      <c r="G16" s="728"/>
      <c r="H16" s="728" t="s">
        <v>2264</v>
      </c>
      <c r="I16" s="803"/>
    </row>
    <row r="17" spans="1:15">
      <c r="A17" s="805" t="s">
        <v>2240</v>
      </c>
      <c r="B17" s="728" t="str">
        <f>VLOOKUP($B$3,'TOTAL - LCB'!$A$150:$AV$242,11,FALSE)</f>
        <v>HAL495922</v>
      </c>
      <c r="G17" s="728"/>
      <c r="H17" s="728" t="s">
        <v>2265</v>
      </c>
      <c r="I17" s="803"/>
    </row>
    <row r="18" spans="1:15" ht="17.25">
      <c r="A18" s="805" t="s">
        <v>2241</v>
      </c>
      <c r="B18" s="653" t="str">
        <f>VLOOKUP($B$3,'TOTAL - LCB'!$A$150:$AV$242,19,FALSE)&amp;" C"</f>
        <v>11 C</v>
      </c>
      <c r="G18" s="728"/>
      <c r="H18" s="728" t="s">
        <v>2266</v>
      </c>
      <c r="I18" s="799"/>
    </row>
    <row r="19" spans="1:15" ht="16.5">
      <c r="A19" s="809" t="s">
        <v>2251</v>
      </c>
      <c r="B19" t="str">
        <f>VLOOKUP($B$3,'TOTAL - LCB'!$A$150:$AV$242,20,FALSE)</f>
        <v>5%</v>
      </c>
      <c r="G19" s="728"/>
      <c r="H19" s="728" t="s">
        <v>2267</v>
      </c>
      <c r="I19" s="804"/>
    </row>
    <row r="20" spans="1:15" ht="16.5">
      <c r="C20" s="608"/>
      <c r="G20" s="728"/>
      <c r="H20" s="728"/>
      <c r="I20" s="804"/>
    </row>
    <row r="21" spans="1:15" ht="17.25">
      <c r="A21" t="str">
        <f>VLOOKUP($B$3,'TOTAL - LCB'!$A$150:$AV$242,5,FALSE)</f>
        <v>ล้งเฮียกุ่ย(มะขาม)</v>
      </c>
      <c r="C21" s="557"/>
      <c r="D21"/>
      <c r="G21" s="728"/>
      <c r="H21" s="728" t="s">
        <v>2268</v>
      </c>
      <c r="I21" s="799"/>
    </row>
    <row r="22" spans="1:15">
      <c r="A22" t="str">
        <f>VLOOKUP($B$3,'TOTAL - LCB'!$A$150:$AV$242,6,FALSE)</f>
        <v>086-3262798</v>
      </c>
      <c r="G22" s="728"/>
      <c r="H22" s="728" t="s">
        <v>2269</v>
      </c>
      <c r="I22" s="798"/>
    </row>
    <row r="23" spans="1:15" ht="17.25">
      <c r="E23" t="s">
        <v>2289</v>
      </c>
      <c r="G23" s="728"/>
      <c r="H23" s="728"/>
      <c r="I23" s="799"/>
    </row>
    <row r="24" spans="1:15">
      <c r="A24" s="811" t="s">
        <v>2291</v>
      </c>
      <c r="B24" s="814" t="s">
        <v>2299</v>
      </c>
      <c r="E24" t="s">
        <v>2290</v>
      </c>
      <c r="G24" s="728"/>
      <c r="H24" s="728" t="s">
        <v>2230</v>
      </c>
      <c r="I24" s="798"/>
    </row>
    <row r="25" spans="1:15">
      <c r="A25" s="553" t="s">
        <v>2242</v>
      </c>
      <c r="B25" s="812" t="str">
        <f>VLOOKUP($B$3,'TOTAL - LCB'!$A$150:$AV$242,30,FALSE)</f>
        <v>HONG KONG</v>
      </c>
      <c r="E25" t="s">
        <v>2292</v>
      </c>
      <c r="G25" s="728"/>
      <c r="H25" s="728" t="s">
        <v>2270</v>
      </c>
      <c r="I25" s="803"/>
    </row>
    <row r="26" spans="1:15">
      <c r="A26" s="553" t="s">
        <v>2243</v>
      </c>
      <c r="B26" s="808">
        <f>VLOOKUP($B$3,'TOTAL - LCB'!$A$150:$AV$242,28,FALSE)</f>
        <v>45830</v>
      </c>
      <c r="E26" s="814" t="s">
        <v>2299</v>
      </c>
      <c r="G26" s="728"/>
      <c r="H26" s="728" t="s">
        <v>2271</v>
      </c>
      <c r="I26" s="803"/>
    </row>
    <row r="27" spans="1:15" ht="17.25">
      <c r="A27" s="556" t="s">
        <v>2244</v>
      </c>
      <c r="B27" s="808">
        <f>VLOOKUP($B$3,'TOTAL - LCB'!$A$150:$AV$242,29,FALSE)</f>
        <v>45834</v>
      </c>
      <c r="G27" s="728"/>
      <c r="H27" s="728" t="s">
        <v>2272</v>
      </c>
      <c r="I27" s="799"/>
    </row>
    <row r="28" spans="1:15">
      <c r="A28" s="556"/>
      <c r="B28" s="808"/>
      <c r="G28" s="728"/>
      <c r="H28" s="728"/>
      <c r="I28" s="801"/>
    </row>
    <row r="29" spans="1:15">
      <c r="A29" s="553" t="s">
        <v>2245</v>
      </c>
      <c r="B29" s="806" t="str">
        <f>VLOOKUP($B$3,'TOTAL - LCB'!$A$150:$AV$242,27,FALSE)</f>
        <v>20/06/2025 18:00</v>
      </c>
      <c r="G29" s="728"/>
      <c r="H29" s="728" t="s">
        <v>2273</v>
      </c>
      <c r="I29" s="728"/>
    </row>
    <row r="30" spans="1:15">
      <c r="A30" s="607" t="s">
        <v>2253</v>
      </c>
      <c r="B30" s="588"/>
      <c r="G30" s="728"/>
      <c r="H30" s="728" t="s">
        <v>2253</v>
      </c>
      <c r="I30" s="728"/>
    </row>
    <row r="31" spans="1:15">
      <c r="A31" s="607"/>
      <c r="B31" s="588"/>
      <c r="G31" s="728"/>
      <c r="H31" s="728"/>
      <c r="I31" s="728"/>
      <c r="O31" s="653"/>
    </row>
    <row r="32" spans="1:15">
      <c r="B32" s="559"/>
      <c r="G32" s="728"/>
      <c r="H32" s="728"/>
      <c r="I32" s="728"/>
    </row>
    <row r="33" spans="2:12">
      <c r="B33" s="541"/>
      <c r="G33" s="728"/>
      <c r="H33" s="728"/>
      <c r="I33" s="728"/>
      <c r="L33" s="728"/>
    </row>
    <row r="34" spans="2:12">
      <c r="G34" s="728"/>
      <c r="H34" s="728"/>
      <c r="I34" s="728"/>
      <c r="L34" s="728"/>
    </row>
    <row r="35" spans="2:12">
      <c r="B35" s="541"/>
      <c r="G35" s="728"/>
      <c r="H35" s="728"/>
      <c r="I35" s="728"/>
      <c r="L35" s="728"/>
    </row>
    <row r="36" spans="2:12">
      <c r="B36" s="541"/>
      <c r="G36" s="728"/>
      <c r="H36" s="728"/>
      <c r="I36" s="728"/>
      <c r="L36" s="728"/>
    </row>
    <row r="37" spans="2:12">
      <c r="B37" s="541"/>
      <c r="G37" s="728"/>
      <c r="H37" s="728"/>
      <c r="I37" s="728"/>
      <c r="L37" s="728"/>
    </row>
    <row r="38" spans="2:12">
      <c r="B38" s="541"/>
      <c r="G38" s="728"/>
      <c r="H38" s="728"/>
      <c r="I38" s="728"/>
      <c r="L38" s="728"/>
    </row>
    <row r="39" spans="2:12">
      <c r="B39" s="541"/>
      <c r="G39" s="728"/>
      <c r="H39" s="728"/>
      <c r="I39" s="728"/>
      <c r="L39" s="728"/>
    </row>
    <row r="40" spans="2:12">
      <c r="G40" s="728"/>
      <c r="H40" s="728"/>
      <c r="I40" s="728"/>
    </row>
    <row r="41" spans="2:12">
      <c r="G41" s="728"/>
      <c r="H41" s="728"/>
      <c r="I41" s="728"/>
    </row>
    <row r="42" spans="2:12">
      <c r="G42" s="728"/>
      <c r="H42" s="728"/>
      <c r="I42" s="728"/>
    </row>
    <row r="43" spans="2:12">
      <c r="G43" s="728"/>
      <c r="H43" s="728"/>
      <c r="I43" s="72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7408B-70B0-40D4-B597-91B8C7D04898}">
  <sheetPr codeName="Sheet3"/>
  <dimension ref="A1:O41"/>
  <sheetViews>
    <sheetView workbookViewId="0">
      <selection activeCell="D30" sqref="A5:D30"/>
    </sheetView>
  </sheetViews>
  <sheetFormatPr defaultRowHeight="15"/>
  <cols>
    <col min="1" max="1" width="12.28515625" style="554" bestFit="1" customWidth="1"/>
    <col min="2" max="2" width="35.28515625" bestFit="1" customWidth="1"/>
    <col min="3" max="3" width="7" bestFit="1" customWidth="1"/>
    <col min="4" max="4" width="8.85546875" style="541"/>
    <col min="7" max="7" width="13.28515625" bestFit="1" customWidth="1"/>
    <col min="8" max="8" width="17.28515625" bestFit="1" customWidth="1"/>
    <col min="9" max="9" width="12.7109375" bestFit="1" customWidth="1"/>
    <col min="10" max="10" width="9.28515625" customWidth="1"/>
    <col min="11" max="11" width="15.42578125" bestFit="1" customWidth="1"/>
    <col min="13" max="13" width="15.42578125" customWidth="1"/>
    <col min="14" max="14" width="15.28515625" customWidth="1"/>
    <col min="15" max="15" width="11.28515625" bestFit="1" customWidth="1"/>
  </cols>
  <sheetData>
    <row r="1" spans="1:9">
      <c r="A1" s="556" t="s">
        <v>1682</v>
      </c>
      <c r="B1" t="str">
        <f>VLOOKUP($B$4,'TOTAL - LCB'!$A$150:$AV$242,45,FALSE)</f>
        <v>DYY TRADING INTL CO.,LTD.</v>
      </c>
    </row>
    <row r="2" spans="1:9">
      <c r="A2" s="607" t="s">
        <v>1726</v>
      </c>
    </row>
    <row r="3" spans="1:9">
      <c r="A3" s="603" t="s">
        <v>1705</v>
      </c>
      <c r="B3" s="653">
        <f>VLOOKUP($B$4,'TOTAL - LCB'!$A$150:$AV$242,46,FALSE)</f>
        <v>2325514</v>
      </c>
    </row>
    <row r="4" spans="1:9">
      <c r="A4" s="553" t="s">
        <v>1670</v>
      </c>
      <c r="B4" s="552" t="s">
        <v>2114</v>
      </c>
      <c r="G4" t="str">
        <f>'TOTAL - LCB'!A203</f>
        <v>DYY-LCH25081</v>
      </c>
      <c r="H4" t="str">
        <f>'TOTAL - LCB'!I203</f>
        <v>TH01048378</v>
      </c>
      <c r="I4" t="str">
        <f>'TOTAL - LCB'!J203</f>
        <v>TTNU8789254</v>
      </c>
    </row>
    <row r="5" spans="1:9">
      <c r="A5" s="556" t="s">
        <v>1680</v>
      </c>
      <c r="B5" t="str">
        <f>VLOOKUP($B$4,'TOTAL - LCB'!$A$150:$AV$242,8,FALSE)</f>
        <v>FRESH MANGOSTEEN</v>
      </c>
      <c r="G5" t="str">
        <f>'TOTAL - LCB'!A204</f>
        <v>DYY-LCH25082</v>
      </c>
      <c r="H5" t="str">
        <f>'TOTAL - LCB'!I204</f>
        <v>HASLS22250600796</v>
      </c>
      <c r="I5" t="str">
        <f>'TOTAL - LCB'!J204</f>
        <v>FBIU5370726</v>
      </c>
    </row>
    <row r="6" spans="1:9">
      <c r="A6" s="553" t="s">
        <v>1671</v>
      </c>
      <c r="B6" s="746" t="str">
        <f>VLOOKUP($B$4,'TOTAL - LCB'!$A$150:$AV$242,9,FALSE)</f>
        <v>BLCHC25028821</v>
      </c>
      <c r="G6" t="str">
        <f>'TOTAL - LCB'!A205</f>
        <v>DYY-LCH25083</v>
      </c>
      <c r="H6" t="str">
        <f>'TOTAL - LCB'!I205</f>
        <v>HASLS22250600662</v>
      </c>
      <c r="I6" t="str">
        <f>'TOTAL - LCB'!J205</f>
        <v>FBIU5370665</v>
      </c>
    </row>
    <row r="7" spans="1:9" ht="18.75">
      <c r="A7" s="556" t="s">
        <v>1683</v>
      </c>
      <c r="B7" s="561" t="str">
        <f>VLOOKUP($B$4,'TOTAL - LCB'!$A$150:$AV$242,10,FALSE)</f>
        <v>SEGU9513180</v>
      </c>
      <c r="G7" t="str">
        <f>'TOTAL - LCB'!A206</f>
        <v>DYY-LCH25084</v>
      </c>
      <c r="H7" t="str">
        <f>'TOTAL - LCB'!I206</f>
        <v>HASLS22250600663</v>
      </c>
      <c r="I7" t="str">
        <f>'TOTAL - LCB'!J206</f>
        <v>FBIU5371358</v>
      </c>
    </row>
    <row r="8" spans="1:9">
      <c r="A8" s="585" t="s">
        <v>1701</v>
      </c>
      <c r="B8" s="653" t="str">
        <f>VLOOKUP($B$4,'TOTAL - LCB'!$A$150:$AV$242,11,FALSE)</f>
        <v>THLCH2458505</v>
      </c>
      <c r="G8" t="str">
        <f>'TOTAL - LCB'!A207</f>
        <v>DYY-LCH25085</v>
      </c>
      <c r="H8" t="str">
        <f>'TOTAL - LCB'!I207</f>
        <v>LCHNSA25N06038</v>
      </c>
      <c r="I8" t="str">
        <f>'TOTAL - LCB'!J207</f>
        <v>FSCU5708558</v>
      </c>
    </row>
    <row r="9" spans="1:9">
      <c r="A9" s="607" t="s">
        <v>1726</v>
      </c>
      <c r="G9" t="str">
        <f>'TOTAL - LCB'!A208</f>
        <v>DYY-LCH25086</v>
      </c>
      <c r="H9" t="str">
        <f>'TOTAL - LCB'!I208</f>
        <v>A15FX07936</v>
      </c>
      <c r="I9" t="str">
        <f>'TOTAL - LCB'!J208</f>
        <v>IAAU8698206</v>
      </c>
    </row>
    <row r="10" spans="1:9">
      <c r="A10" s="603" t="s">
        <v>1706</v>
      </c>
      <c r="B10" s="379" t="str">
        <f>VLOOKUP($B$4,'TOTAL - LCB'!$A$150:$AV$242,21,FALSE)</f>
        <v>GUOSHEN(JIANGSU) INTERNATIONAL TRADE CO., LTD</v>
      </c>
      <c r="G10" t="str">
        <f>'TOTAL - LCB'!A209</f>
        <v>DYY-LCH25087</v>
      </c>
      <c r="H10" t="str">
        <f>'TOTAL - LCB'!I209</f>
        <v>TH01049056</v>
      </c>
      <c r="I10" t="str">
        <f>'TOTAL - LCB'!J209</f>
        <v>FBIU5378408</v>
      </c>
    </row>
    <row r="11" spans="1:9">
      <c r="A11" s="556" t="s">
        <v>1681</v>
      </c>
      <c r="B11" t="str">
        <f>VLOOKUP($B$4,'TOTAL - LCB'!$A$150:$AV$242,5,FALSE)</f>
        <v>ล้งเฮียกุ่ย(มะขาม)</v>
      </c>
      <c r="G11" t="str">
        <f>'TOTAL - LCB'!A210</f>
        <v>DYY-LCH25088</v>
      </c>
      <c r="H11" t="str">
        <f>'TOTAL - LCB'!I210</f>
        <v>HASLS22250601102</v>
      </c>
      <c r="I11" t="str">
        <f>'TOTAL - LCB'!J210</f>
        <v>FSCU5887330</v>
      </c>
    </row>
    <row r="12" spans="1:9">
      <c r="A12" s="553" t="s">
        <v>1685</v>
      </c>
      <c r="B12" t="str">
        <f>VLOOKUP($B$4,'TOTAL - LCB'!$A$150:$AV$242,22,FALSE)</f>
        <v>WONDER</v>
      </c>
      <c r="G12" s="728" t="str">
        <f>'TOTAL - LCB'!A211</f>
        <v>DYY-LCH25089</v>
      </c>
      <c r="H12" s="728">
        <f>'TOTAL - LCB'!I211</f>
        <v>7260309860</v>
      </c>
      <c r="I12" s="728" t="str">
        <f>'TOTAL - LCB'!J211</f>
        <v>SEGU9983666</v>
      </c>
    </row>
    <row r="13" spans="1:9">
      <c r="A13" s="553" t="s">
        <v>1672</v>
      </c>
      <c r="B13" t="str">
        <f>VLOOKUP($B$4,'TOTAL - LCB'!$A$150:$AV$242,23,FALSE)</f>
        <v>RCL</v>
      </c>
      <c r="G13" s="728" t="str">
        <f>'TOTAL - LCB'!A212</f>
        <v>DYY-LCH25090</v>
      </c>
      <c r="H13" s="728">
        <f>'TOTAL - LCB'!I212</f>
        <v>7260312200</v>
      </c>
      <c r="I13" s="728" t="str">
        <f>'TOTAL - LCB'!J212</f>
        <v>OERU4281190</v>
      </c>
    </row>
    <row r="14" spans="1:9">
      <c r="A14" s="553" t="s">
        <v>1673</v>
      </c>
      <c r="B14" t="str">
        <f>VLOOKUP($B$4,'TOTAL - LCB'!$A$150:$AV$242,31,FALSE)</f>
        <v>TS NAGOYA 25010N</v>
      </c>
      <c r="G14" s="728" t="str">
        <f>'TOTAL - LCB'!A213</f>
        <v>DYY-LCH25091</v>
      </c>
      <c r="H14" s="728" t="str">
        <f>'TOTAL - LCB'!I213</f>
        <v>A15FX08082</v>
      </c>
      <c r="I14" s="728" t="str">
        <f>'TOTAL - LCB'!J213</f>
        <v>OTPU6211038</v>
      </c>
    </row>
    <row r="15" spans="1:9">
      <c r="A15" s="553" t="s">
        <v>1674</v>
      </c>
      <c r="B15" t="str">
        <f>VLOOKUP($B$4,'TOTAL - LCB'!$A$150:$AV$242,25,FALSE)</f>
        <v>SCS</v>
      </c>
      <c r="G15" s="728" t="str">
        <f>'TOTAL - LCB'!A214</f>
        <v>DYY-LCH25092</v>
      </c>
      <c r="H15" s="728" t="str">
        <f>'TOTAL - LCB'!I214</f>
        <v>HASLS22250601301</v>
      </c>
      <c r="I15" s="728" t="str">
        <f>'TOTAL - LCB'!J214</f>
        <v>FSCU5890360</v>
      </c>
    </row>
    <row r="16" spans="1:9">
      <c r="A16" s="607" t="s">
        <v>1726</v>
      </c>
      <c r="G16" s="728" t="str">
        <f>'TOTAL - LCB'!A215</f>
        <v>DYY-LCH25093</v>
      </c>
      <c r="H16" s="728" t="str">
        <f>'TOTAL - LCB'!I215</f>
        <v>A15FX07892</v>
      </c>
      <c r="I16" s="728" t="str">
        <f>'TOTAL - LCB'!J215</f>
        <v>IAAU8688656</v>
      </c>
    </row>
    <row r="17" spans="1:15">
      <c r="A17" s="607" t="s">
        <v>1727</v>
      </c>
      <c r="B17" s="541">
        <f>VLOOKUP($B$4,'TOTAL - LCB'!$A$150:$AV$242,19,FALSE)</f>
        <v>12</v>
      </c>
      <c r="C17" s="557"/>
      <c r="G17" s="728" t="str">
        <f>'TOTAL - LCB'!A216</f>
        <v>DYY-LCH25094</v>
      </c>
      <c r="H17" s="728" t="str">
        <f>'TOTAL - LCB'!I216</f>
        <v>A15FX08167</v>
      </c>
      <c r="I17" s="728" t="str">
        <f>'TOTAL - LCB'!J216</f>
        <v>IAAU8688297</v>
      </c>
    </row>
    <row r="18" spans="1:15">
      <c r="A18" s="608" t="s">
        <v>1728</v>
      </c>
      <c r="B18" t="str">
        <f>VLOOKUP($B$4,'TOTAL - LCB'!$A$150:$AV$242,20,FALSE)</f>
        <v>5%</v>
      </c>
      <c r="C18" s="557"/>
      <c r="G18" s="728" t="str">
        <f>'TOTAL - LCB'!A217</f>
        <v>DYY-LCH25095</v>
      </c>
      <c r="H18" s="728" t="str">
        <f>'TOTAL - LCB'!I217</f>
        <v>A15FX08165</v>
      </c>
      <c r="I18" s="728" t="str">
        <f>'TOTAL - LCB'!J217</f>
        <v>OTPU6211172</v>
      </c>
    </row>
    <row r="19" spans="1:15">
      <c r="A19" s="607" t="s">
        <v>1726</v>
      </c>
      <c r="G19" s="728" t="str">
        <f>'TOTAL - LCB'!A218</f>
        <v>DYY-LCH25096</v>
      </c>
      <c r="H19" s="728" t="str">
        <f>'TOTAL - LCB'!I218</f>
        <v>A15FX08166</v>
      </c>
      <c r="I19" s="728" t="str">
        <f>'TOTAL - LCB'!J218</f>
        <v>OTPU6222135</v>
      </c>
    </row>
    <row r="20" spans="1:15">
      <c r="A20" s="553" t="s">
        <v>1675</v>
      </c>
      <c r="B20" t="str">
        <f>VLOOKUP($B$4,'TOTAL - LCB'!$A$150:$AV$242,27,FALSE)</f>
        <v>18/06/2025 15.00</v>
      </c>
      <c r="G20" s="728" t="str">
        <f>'TOTAL - LCB'!A219</f>
        <v>DYY-LCH25097</v>
      </c>
      <c r="H20" s="728" t="str">
        <f>'TOTAL - LCB'!I219</f>
        <v>ERLCSK064099SIT</v>
      </c>
      <c r="I20" s="728" t="str">
        <f>'TOTAL - LCB'!J219</f>
        <v>OTPU6626646</v>
      </c>
      <c r="J20" t="str">
        <f>'TOTAL - LCB'!AF219</f>
        <v>พี่บิ๊ก</v>
      </c>
      <c r="K20" t="str">
        <f>'TOTAL - LCB'!AG219</f>
        <v>โยธิน เจริญศรี</v>
      </c>
    </row>
    <row r="21" spans="1:15">
      <c r="A21" s="553" t="s">
        <v>1676</v>
      </c>
      <c r="B21" s="560">
        <f>VLOOKUP($B$4,'TOTAL - LCB'!$A$150:$AV$242,28,FALSE)</f>
        <v>45827</v>
      </c>
      <c r="G21" s="728" t="str">
        <f>'TOTAL - LCB'!A220</f>
        <v>DYY-LCH25098</v>
      </c>
      <c r="H21" s="728" t="str">
        <f>'TOTAL - LCB'!I220</f>
        <v>ERLCSK064101SIT</v>
      </c>
      <c r="I21" s="728" t="str">
        <f>'TOTAL - LCB'!J220</f>
        <v>OTPU6624793</v>
      </c>
      <c r="J21" t="str">
        <f>'TOTAL - LCB'!AF220</f>
        <v>พี่บิ๊ก</v>
      </c>
      <c r="K21" t="str">
        <f>'TOTAL - LCB'!AG220</f>
        <v>ศักดิ์ดา ทำนุ</v>
      </c>
    </row>
    <row r="22" spans="1:15">
      <c r="A22" s="556" t="s">
        <v>1679</v>
      </c>
      <c r="B22" t="str">
        <f>VLOOKUP($B$4,'TOTAL - LCB'!$A$150:$AV$242,30,FALSE)</f>
        <v>NANSHA</v>
      </c>
      <c r="G22" s="728" t="str">
        <f>'TOTAL - LCB'!A221</f>
        <v>DYY-LCH25099</v>
      </c>
      <c r="H22" s="728" t="str">
        <f>'TOTAL - LCB'!I221</f>
        <v>HASLS22250601353</v>
      </c>
      <c r="I22" s="728" t="str">
        <f>'TOTAL - LCB'!J221</f>
        <v>FBIU5092902</v>
      </c>
      <c r="J22" t="str">
        <f>'TOTAL - LCB'!AF221</f>
        <v>พี่แก้ม</v>
      </c>
      <c r="K22" t="str">
        <f>'TOTAL - LCB'!AG221</f>
        <v>ทวีชาย เจิมคุณทด</v>
      </c>
    </row>
    <row r="23" spans="1:15">
      <c r="A23" s="553" t="s">
        <v>1677</v>
      </c>
      <c r="B23" s="541" t="str">
        <f>VLOOKUP($B$4,'TOTAL - LCB'!$A$150:$AV$242,33,FALSE)</f>
        <v>ธเนษฐ  สมชัยยา</v>
      </c>
      <c r="G23" s="728" t="str">
        <f>'TOTAL - LCB'!A222</f>
        <v>DYY-LCH25100</v>
      </c>
      <c r="H23" s="728" t="str">
        <f>'TOTAL - LCB'!I222</f>
        <v>ERLCSK064107SIT</v>
      </c>
      <c r="I23" s="728" t="str">
        <f>'TOTAL - LCB'!J222</f>
        <v>OTPU6619858</v>
      </c>
      <c r="J23" t="str">
        <f>'TOTAL - LCB'!AF222</f>
        <v>พี่บิ๊ก</v>
      </c>
      <c r="K23" t="str">
        <f>'TOTAL - LCB'!AG222</f>
        <v>เสถียร มวลคำลา</v>
      </c>
    </row>
    <row r="24" spans="1:15">
      <c r="A24" s="556" t="s">
        <v>1684</v>
      </c>
      <c r="B24" s="541" t="str">
        <f>VLOOKUP($B$4,'TOTAL - LCB'!$A$150:$AV$242,34,FALSE)</f>
        <v>065-3230814</v>
      </c>
      <c r="C24" s="555"/>
      <c r="G24" s="728" t="str">
        <f>'TOTAL - LCB'!A223</f>
        <v>DYY-LCH25101</v>
      </c>
      <c r="H24" s="728" t="str">
        <f>'TOTAL - LCB'!I223</f>
        <v>ERLCSK064115SIT</v>
      </c>
      <c r="I24" s="728" t="str">
        <f>'TOTAL - LCB'!J223</f>
        <v>SEKU9107009</v>
      </c>
      <c r="J24" t="str">
        <f>'TOTAL - LCB'!AF223</f>
        <v>พี่บิ๊ก</v>
      </c>
      <c r="K24" t="str">
        <f>'TOTAL - LCB'!AG223</f>
        <v>จรูญ จันทะคราม</v>
      </c>
    </row>
    <row r="25" spans="1:15">
      <c r="A25" s="553" t="s">
        <v>1678</v>
      </c>
      <c r="B25" s="541" t="str">
        <f>VLOOKUP($B$4,'TOTAL - LCB'!$A$150:$AV$242,35,FALSE)</f>
        <v>71-5960  ส.ป/70-2011  ส.ท</v>
      </c>
      <c r="C25" t="str">
        <f>"("  &amp; VLOOKUP($B$4,'TOTAL - LCB'!$A$150:$AV$242,32,FALSE) &amp; ")"</f>
        <v>(พี่แก้ม)</v>
      </c>
      <c r="G25" s="728" t="str">
        <f>'TOTAL - LCB'!A224</f>
        <v>DYY-LCH25102</v>
      </c>
      <c r="H25" s="728" t="str">
        <f>'TOTAL - LCB'!I224</f>
        <v>HASLS22250601352</v>
      </c>
      <c r="I25" s="728" t="str">
        <f>'TOTAL - LCB'!J224</f>
        <v>FBIU5087043</v>
      </c>
      <c r="J25" t="str">
        <f>'TOTAL - LCB'!AF224</f>
        <v>พี่แก้ม</v>
      </c>
      <c r="K25" t="str">
        <f>'TOTAL - LCB'!AG224</f>
        <v xml:space="preserve">ธวัตชัย เผือกทับ </v>
      </c>
    </row>
    <row r="26" spans="1:15">
      <c r="A26" s="607" t="s">
        <v>1725</v>
      </c>
      <c r="B26" s="588" t="str">
        <f>VLOOKUP($B$4,'TOTAL - LCB'!$A$150:$AV$242,48,FALSE)</f>
        <v>18/06/2025 17:45:01</v>
      </c>
      <c r="G26" s="728" t="str">
        <f>'TOTAL - LCB'!A225</f>
        <v>DYY-LCH25103</v>
      </c>
      <c r="H26" s="728" t="str">
        <f>'TOTAL - LCB'!I225</f>
        <v>HASLS22250601354</v>
      </c>
      <c r="I26" s="728" t="str">
        <f>'TOTAL - LCB'!J225</f>
        <v>FSCU5868324</v>
      </c>
      <c r="J26" t="str">
        <f>'TOTAL - LCB'!AF225</f>
        <v>พี่แก้ม</v>
      </c>
      <c r="K26" t="str">
        <f>'TOTAL - LCB'!AG225</f>
        <v>สำเริง จันทร์ไชย</v>
      </c>
    </row>
    <row r="27" spans="1:15">
      <c r="B27" s="559"/>
      <c r="G27" s="728" t="str">
        <f>'TOTAL - LCB'!A226</f>
        <v>DYY-LCH25104</v>
      </c>
      <c r="H27" s="728" t="str">
        <f>'TOTAL - LCB'!I226</f>
        <v>LC2504473</v>
      </c>
      <c r="I27" s="728" t="str">
        <f>'TOTAL - LCB'!J226</f>
        <v>FSCU5913001</v>
      </c>
      <c r="J27" t="str">
        <f>'TOTAL - LCB'!AF226</f>
        <v>พี่แก้ม</v>
      </c>
      <c r="K27" t="str">
        <f>'TOTAL - LCB'!AG226</f>
        <v>พงศ์ศักดิ์ สังข์ชู</v>
      </c>
    </row>
    <row r="28" spans="1:15">
      <c r="B28" s="541"/>
      <c r="G28" s="728" t="str">
        <f>'TOTAL - LCB'!A227</f>
        <v>DYY-LCH25105</v>
      </c>
      <c r="H28" s="728" t="str">
        <f>'TOTAL - LCB'!I227</f>
        <v>HASLS22250601360</v>
      </c>
      <c r="I28" s="728" t="str">
        <f>'TOTAL - LCB'!J227</f>
        <v>FSC5835758</v>
      </c>
      <c r="J28" t="str">
        <f>'TOTAL - LCB'!AF227</f>
        <v>พี่แก้ม</v>
      </c>
      <c r="K28" t="str">
        <f>'TOTAL - LCB'!AG227</f>
        <v xml:space="preserve">พิทยา สนธิลา </v>
      </c>
    </row>
    <row r="29" spans="1:15">
      <c r="B29" s="541"/>
      <c r="G29" s="728" t="str">
        <f>'TOTAL - LCB'!A228</f>
        <v>DYY-LCH25106</v>
      </c>
      <c r="H29" s="728" t="str">
        <f>'TOTAL - LCB'!I228</f>
        <v>LC2504438</v>
      </c>
      <c r="I29" s="728" t="str">
        <f>'TOTAL - LCB'!J228</f>
        <v>FBIU5112151</v>
      </c>
      <c r="J29" t="str">
        <f>'TOTAL - LCB'!AF228</f>
        <v>KST</v>
      </c>
      <c r="K29" t="str">
        <f>'TOTAL - LCB'!AG228</f>
        <v>วุฒิพงษ์ บุญหลัง</v>
      </c>
      <c r="O29" s="653"/>
    </row>
    <row r="30" spans="1:15">
      <c r="B30" s="541"/>
      <c r="G30" s="728" t="str">
        <f>'TOTAL - LCB'!A229</f>
        <v>DYY-LCH25107</v>
      </c>
      <c r="H30" s="728" t="str">
        <f>'TOTAL - LCB'!I229</f>
        <v>BLCHC25028819</v>
      </c>
      <c r="I30" s="728" t="str">
        <f>'TOTAL - LCB'!J229</f>
        <v>SEGU9425725</v>
      </c>
      <c r="J30" t="str">
        <f>'TOTAL - LCB'!AF229</f>
        <v>พี่แก้ม</v>
      </c>
      <c r="K30" t="str">
        <f>'TOTAL - LCB'!AG229</f>
        <v>โสภา  แสนเกตุ</v>
      </c>
    </row>
    <row r="31" spans="1:15">
      <c r="B31" s="541"/>
      <c r="G31" s="728" t="str">
        <f>'TOTAL - LCB'!A230</f>
        <v>DYY-LCH25108</v>
      </c>
      <c r="H31" s="728" t="str">
        <f>'TOTAL - LCB'!I230</f>
        <v>BLCHC25028820</v>
      </c>
      <c r="I31" s="728" t="str">
        <f>'TOTAL - LCB'!J230</f>
        <v>SEKU9106189</v>
      </c>
      <c r="J31" t="str">
        <f>'TOTAL - LCB'!AF230</f>
        <v>พี่แก้ม</v>
      </c>
      <c r="K31" t="str">
        <f>'TOTAL - LCB'!AG230</f>
        <v>สุเทพ สามารถ</v>
      </c>
    </row>
    <row r="32" spans="1:15">
      <c r="B32" s="541"/>
      <c r="G32" s="778" t="str">
        <f>'TOTAL - LCB'!A231</f>
        <v>DYY-LCH25109</v>
      </c>
      <c r="H32" s="778" t="str">
        <f>'TOTAL - LCB'!I231</f>
        <v>BLCHC25028821</v>
      </c>
      <c r="I32" s="778" t="str">
        <f>'TOTAL - LCB'!J231</f>
        <v>SEGU9513180</v>
      </c>
      <c r="J32" s="273" t="str">
        <f>'TOTAL - LCB'!AF231</f>
        <v>พี่แก้ม</v>
      </c>
      <c r="K32" s="273" t="str">
        <f>'TOTAL - LCB'!AG231</f>
        <v>ธเนษฐ  สมชัยยา</v>
      </c>
    </row>
    <row r="33" spans="2:11">
      <c r="B33" s="541"/>
      <c r="G33" s="778" t="str">
        <f>'TOTAL - LCB'!A232</f>
        <v>DYY-LCH25110</v>
      </c>
      <c r="H33" s="778" t="str">
        <f>'TOTAL - LCB'!I232</f>
        <v>LCHNSA25N06111</v>
      </c>
      <c r="I33" s="778" t="str">
        <f>'TOTAL - LCB'!J232</f>
        <v>SEGU9562477</v>
      </c>
      <c r="J33" s="273" t="str">
        <f>'TOTAL - LCB'!AF232</f>
        <v>พี่แก้ม</v>
      </c>
      <c r="K33" s="273" t="str">
        <f>'TOTAL - LCB'!AG232</f>
        <v>พิทยา สนธิลา</v>
      </c>
    </row>
    <row r="34" spans="2:11">
      <c r="G34" s="778" t="str">
        <f>'TOTAL - LCB'!A233</f>
        <v>DYY-LCH25111</v>
      </c>
      <c r="H34" s="778" t="str">
        <f>'TOTAL - LCB'!I233</f>
        <v>LCHNSA25N06070</v>
      </c>
      <c r="I34" s="778" t="str">
        <f>'TOTAL - LCB'!J233</f>
        <v>SEGU9562306</v>
      </c>
      <c r="J34" s="273" t="str">
        <f>'TOTAL - LCB'!AF233</f>
        <v>พี่แก้ม</v>
      </c>
      <c r="K34" s="273" t="str">
        <f>'TOTAL - LCB'!AG233</f>
        <v>สำราญ พันธเสมา</v>
      </c>
    </row>
    <row r="35" spans="2:11">
      <c r="G35" s="778" t="str">
        <f>'TOTAL - LCB'!A234</f>
        <v>DYY-LCH25112</v>
      </c>
      <c r="H35" s="778" t="str">
        <f>'TOTAL - LCB'!I234</f>
        <v>LCHNSA25N06112</v>
      </c>
      <c r="I35" s="778" t="str">
        <f>'TOTAL - LCB'!J234</f>
        <v>SEGU9561866</v>
      </c>
      <c r="J35" s="273" t="str">
        <f>'TOTAL - LCB'!AF234</f>
        <v>พี่แก้ม</v>
      </c>
      <c r="K35" s="273" t="str">
        <f>'TOTAL - LCB'!AG234</f>
        <v>วรานนท์ วิยะรันดร์</v>
      </c>
    </row>
    <row r="36" spans="2:11">
      <c r="G36" s="778" t="str">
        <f>'TOTAL - LCB'!A235</f>
        <v>DYY-LCH25113</v>
      </c>
      <c r="H36" s="778" t="str">
        <f>'TOTAL - LCB'!I235</f>
        <v>LCHNSA25N06071</v>
      </c>
      <c r="I36" s="778" t="str">
        <f>'TOTAL - LCB'!J235</f>
        <v>SEGU9564572</v>
      </c>
      <c r="J36" s="273" t="str">
        <f>'TOTAL - LCB'!AF235</f>
        <v>พี่แก้ม</v>
      </c>
      <c r="K36" s="273" t="str">
        <f>'TOTAL - LCB'!AG235</f>
        <v xml:space="preserve"> ทวีชาย เจิมคุณทด</v>
      </c>
    </row>
    <row r="37" spans="2:11">
      <c r="G37" s="728" t="str">
        <f>'TOTAL - LCB'!A236</f>
        <v>DYY-LCH25114</v>
      </c>
      <c r="H37" s="728" t="str">
        <f>'TOTAL - LCB'!I236</f>
        <v>TH01050334</v>
      </c>
      <c r="I37" s="728" t="str">
        <f>'TOTAL - LCB'!J236</f>
        <v>FBIU5562837</v>
      </c>
    </row>
    <row r="38" spans="2:11">
      <c r="G38" s="728" t="str">
        <f>'TOTAL - LCB'!A237</f>
        <v>DYY-LCH25115</v>
      </c>
      <c r="H38" s="728" t="str">
        <f>'TOTAL - LCB'!I237</f>
        <v>TH01050331</v>
      </c>
      <c r="I38" s="728" t="str">
        <f>'TOTAL - LCB'!J237</f>
        <v>OTPU6143838</v>
      </c>
    </row>
    <row r="39" spans="2:11">
      <c r="G39" s="728" t="str">
        <f>'TOTAL - LCB'!A238</f>
        <v>DYY-LCH25116</v>
      </c>
      <c r="H39" s="728" t="str">
        <f>'TOTAL - LCB'!I238</f>
        <v>ERLCQI064431SIT</v>
      </c>
      <c r="I39" s="728" t="str">
        <f>'TOTAL - LCB'!J238</f>
        <v>OTPU6621182</v>
      </c>
    </row>
    <row r="40" spans="2:11">
      <c r="G40" s="728" t="str">
        <f>'TOTAL - LCB'!A239</f>
        <v>DYY-LCH25117</v>
      </c>
      <c r="H40" s="728" t="str">
        <f>'TOTAL - LCB'!I239</f>
        <v>ERLCQI064807SIT</v>
      </c>
      <c r="I40" s="728" t="str">
        <f>'TOTAL - LCB'!J239</f>
        <v>SZLU6034952</v>
      </c>
    </row>
    <row r="41" spans="2:11">
      <c r="G41" s="728" t="str">
        <f>'TOTAL - LCB'!A240</f>
        <v>DYY-LCH25118</v>
      </c>
      <c r="H41" s="728" t="str">
        <f>'TOTAL - LCB'!I240</f>
        <v>TH01050341</v>
      </c>
      <c r="I41" s="728" t="str">
        <f>'TOTAL - LCB'!J240</f>
        <v>SEGU9040630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TOTAL - LCB</vt:lpstr>
      <vt:lpstr>BEIJING-DYY Trading-(2)มังคุด</vt:lpstr>
      <vt:lpstr>HUANG ZONG-Hainan Botai-DYY</vt:lpstr>
      <vt:lpstr>HUANG ZONG- GUOSHEN-DYY </vt:lpstr>
      <vt:lpstr>BOMING-HAINAN DYY-3</vt:lpstr>
      <vt:lpstr>Book</vt:lpstr>
      <vt:lpstr>Book 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dyy_logistics</dc:creator>
  <cp:lastModifiedBy>Warut Tor</cp:lastModifiedBy>
  <cp:lastPrinted>2025-06-18T12:47:58Z</cp:lastPrinted>
  <dcterms:created xsi:type="dcterms:W3CDTF">2022-04-30T07:30:40Z</dcterms:created>
  <dcterms:modified xsi:type="dcterms:W3CDTF">2025-06-26T03:27:26Z</dcterms:modified>
</cp:coreProperties>
</file>